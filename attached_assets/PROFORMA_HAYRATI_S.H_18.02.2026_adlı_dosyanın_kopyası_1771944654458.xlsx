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İRİŞ" sheetId="1" r:id="rId5"/>
    <sheet state="visible" name="TUPRAS" sheetId="2" r:id="rId6"/>
    <sheet state="visible" name="TEKIRDAG CEYPORT" sheetId="3" r:id="rId7"/>
    <sheet state="visible" name="ISS PALM FORMAT" sheetId="4" r:id="rId8"/>
    <sheet state="visible" name="TCDD IZMIR " sheetId="5" r:id="rId9"/>
    <sheet state="visible" name="SARI YERLERI DOLDUR" sheetId="6" r:id="rId10"/>
  </sheets>
  <definedNames/>
  <calcPr/>
</workbook>
</file>

<file path=xl/sharedStrings.xml><?xml version="1.0" encoding="utf-8"?>
<sst xmlns="http://schemas.openxmlformats.org/spreadsheetml/2006/main" count="324" uniqueCount="165">
  <si>
    <t>ED</t>
  </si>
  <si>
    <t>VERİ BAŞLIKLARI</t>
  </si>
  <si>
    <t>GEMİ BİLGİLERİ DOLDUR</t>
  </si>
  <si>
    <t>GEMİ ADI :</t>
  </si>
  <si>
    <t>M/T ALSU</t>
  </si>
  <si>
    <t>NRT (Net Tonaj) :</t>
  </si>
  <si>
    <t>GRT (Gross Tonaj) :</t>
  </si>
  <si>
    <t>YÜK MİKTARI :</t>
  </si>
  <si>
    <t>BARINMA SÜRESİ :</t>
  </si>
  <si>
    <t>ÖN GÖRÜLEN DEMİRLEME SÜRESİ :</t>
  </si>
  <si>
    <t>TEHLİKELİ YÜK :</t>
  </si>
  <si>
    <t xml:space="preserve">EVET </t>
  </si>
  <si>
    <t>GÜMRÜK SEÇ :</t>
  </si>
  <si>
    <t>İTHALAT</t>
  </si>
  <si>
    <t>DTO:</t>
  </si>
  <si>
    <t>TÜRK / CHAMBER OF SHIPPING FEE</t>
  </si>
  <si>
    <t>BARINMA / LİMAN :</t>
  </si>
  <si>
    <t>YABANCI</t>
  </si>
  <si>
    <t>FENER:</t>
  </si>
  <si>
    <t>TÜRK</t>
  </si>
  <si>
    <t>VTS:</t>
  </si>
  <si>
    <t>REF NO :</t>
  </si>
  <si>
    <t>2026/1202</t>
  </si>
  <si>
    <t>TO KISMI :</t>
  </si>
  <si>
    <t>CHEMTANKERS SHIPPING SA</t>
  </si>
  <si>
    <t xml:space="preserve"> </t>
  </si>
  <si>
    <t>BAYRAK:</t>
  </si>
  <si>
    <t>TURKIYE</t>
  </si>
  <si>
    <t>GELİŞ NEDENİ:</t>
  </si>
  <si>
    <t>Discharging</t>
  </si>
  <si>
    <t>KARGO CİNSİ :</t>
  </si>
  <si>
    <t>SFS OIL</t>
  </si>
  <si>
    <t>LİMAN:</t>
  </si>
  <si>
    <t>IZMIR</t>
  </si>
  <si>
    <t>OTO SERVİS</t>
  </si>
  <si>
    <t>Vessel's Particulars</t>
  </si>
  <si>
    <t>Port:</t>
  </si>
  <si>
    <t>ALIAGA</t>
  </si>
  <si>
    <t>Name Of Vsl:</t>
  </si>
  <si>
    <t>Purpose Of Call:</t>
  </si>
  <si>
    <t>Flag :</t>
  </si>
  <si>
    <t>Kind Of Cargo:</t>
  </si>
  <si>
    <t>Nrt:</t>
  </si>
  <si>
    <t>Qnty Of Cargo:</t>
  </si>
  <si>
    <t>Grt:</t>
  </si>
  <si>
    <t>Est. Berth Stay:</t>
  </si>
  <si>
    <t>$ 1 =</t>
  </si>
  <si>
    <t>TUPRAS port in Turkey in/out exp.(estimated)</t>
  </si>
  <si>
    <t>Pilotage (%50 overtime will applicable on National/ Religions holidays &amp; sundays)</t>
  </si>
  <si>
    <t>Tugboats (%50 overtime will applicable on National/ Religions holidays &amp; sundays)</t>
  </si>
  <si>
    <t xml:space="preserve">Wharfage / Quay dues </t>
  </si>
  <si>
    <t>Mooring boat (%50 overtime will applicable on National/ Religions holidays &amp; sundays)</t>
  </si>
  <si>
    <t>Garbage (compulsory charge)</t>
  </si>
  <si>
    <t xml:space="preserve">Oto service </t>
  </si>
  <si>
    <t>Harbour Master dues</t>
  </si>
  <si>
    <t>Sanitary dues</t>
  </si>
  <si>
    <t>Light dues</t>
  </si>
  <si>
    <t>Customs Overtime</t>
  </si>
  <si>
    <t>Anchorage dues for (5)</t>
  </si>
  <si>
    <t>Chamber of shipping fee</t>
  </si>
  <si>
    <t>Chamber of shipping share on freight</t>
  </si>
  <si>
    <t>Contr. to Maritime Association fee</t>
  </si>
  <si>
    <t>Motorboat exp.</t>
  </si>
  <si>
    <t>Facilities &amp; Other exp.</t>
  </si>
  <si>
    <t>Transportation exp.</t>
  </si>
  <si>
    <t>Fiscal &amp; Notary exp.</t>
  </si>
  <si>
    <t>Communication &amp; Copy &amp; Stamp exp.</t>
  </si>
  <si>
    <t>Supervision fee  (as per official tariff)</t>
  </si>
  <si>
    <t>Agency fee (as per official tariff, please see below remark)</t>
  </si>
  <si>
    <t>Total port expenses.</t>
  </si>
  <si>
    <t>E. &amp; O.E. - All items are subject to final verification against official tariffs.</t>
  </si>
  <si>
    <t>"Please remit the total amount to our bank account prior to vessel's arrival."</t>
  </si>
  <si>
    <t>* Turkish Freight Tax: - Nil- Not applicable for discharging cargoes...</t>
  </si>
  <si>
    <t>* The above basic agency fee is charged for vsl stay in port and/or territorial waters up to 7(seven) days (incl.) irrespective of reason of stay.</t>
  </si>
  <si>
    <t>When the vsl stay exceeds 7(seven) days, %20 (twenty) of basic fee will be added for each of 5(five) day.</t>
  </si>
  <si>
    <t>Our Bankers</t>
  </si>
  <si>
    <t>YAPI KREDI BANKASI</t>
  </si>
  <si>
    <t>SAIRESREF BRANCH – IZMIR/TURKEY</t>
  </si>
  <si>
    <t>SWIFT CODE</t>
  </si>
  <si>
    <t>: YAPITRISXXX</t>
  </si>
  <si>
    <t>USD IBAN</t>
  </si>
  <si>
    <t>: TR80 0006 7010 0000 0070 3050 34</t>
  </si>
  <si>
    <t>EUR IBAN</t>
  </si>
  <si>
    <t>: TR89 0006 7010 0000 0059 7528 24</t>
  </si>
  <si>
    <t>TL IBAN</t>
  </si>
  <si>
    <t>: TR47 0006 7010 0000 0070 2494 65</t>
  </si>
  <si>
    <t>IN FAVOUR OF</t>
  </si>
  <si>
    <t>: SELIM DENIZCILIK,NAKLIYAT,GEMICILIK SAN.TIC.LTD.STI.</t>
  </si>
  <si>
    <t>Alsancak, Kıbrıs Sehitleri Cd. No: 148 K:5 D: 503, 35220 Konak/Izmir -  TURKIYE | 
T. Office: KORDON - T. No:7600137148 TEL: +90 232 464 47 11 | www.selimshipping.com</t>
  </si>
  <si>
    <t>HQ: IZMIR   |   BRANCHES: ALIAGA - TEKIRDAG - MERSIN</t>
  </si>
  <si>
    <t>TEKIRDAG</t>
  </si>
  <si>
    <t>CEYPORT port in Turkey in/out exp.(estimated)</t>
  </si>
  <si>
    <t>Alsancak TCDD port in Turkey in/out exp.(estimated)</t>
  </si>
  <si>
    <t>Pelikan Bank Passage Pilot(Not Compulsary)</t>
  </si>
  <si>
    <t>Vts Fee</t>
  </si>
  <si>
    <t xml:space="preserve">Anchorage dues </t>
  </si>
  <si>
    <t>Tarih</t>
  </si>
  <si>
    <t>LİMAN</t>
  </si>
  <si>
    <t>ISS PALM TARIFE</t>
  </si>
  <si>
    <t>M (Başlangıç Tonajı)</t>
  </si>
  <si>
    <t>N (Fiyat TL)</t>
  </si>
  <si>
    <t>P (Hizmet)</t>
  </si>
  <si>
    <t>Q (Taban $)</t>
  </si>
  <si>
    <t>R (Ek 1000 GRT $)</t>
  </si>
  <si>
    <t>S (Başlangıç NRT)</t>
  </si>
  <si>
    <t>T (Mesai Dışı Ücret TL)</t>
  </si>
  <si>
    <t>V (Başlangıç)</t>
  </si>
  <si>
    <t>W (İthalat TL)</t>
  </si>
  <si>
    <t>X (İhracat TL)</t>
  </si>
  <si>
    <t>AE (Başlangıç NT)</t>
  </si>
  <si>
    <t>AF (Yabancı $)</t>
  </si>
  <si>
    <t>AG (Türk $)</t>
  </si>
  <si>
    <t>AH (Kabotaj $)</t>
  </si>
  <si>
    <t>USD Kuru (Otomatik)</t>
  </si>
  <si>
    <t>BAYRAK</t>
  </si>
  <si>
    <t>Kılavuzluk</t>
  </si>
  <si>
    <t>EUR KURU (Otomatik)</t>
  </si>
  <si>
    <t>MOTORBOAT</t>
  </si>
  <si>
    <t>Römorkör</t>
  </si>
  <si>
    <t>AGENCY FEE</t>
  </si>
  <si>
    <t>PARİTE EUR/USD (Otomatik)</t>
  </si>
  <si>
    <t>GEMİ ADI</t>
  </si>
  <si>
    <t>Palamar</t>
  </si>
  <si>
    <t>NRT (Net Tonaj)</t>
  </si>
  <si>
    <t xml:space="preserve">Geliș nedeni </t>
  </si>
  <si>
    <t>GRT (Gross Tonaj)</t>
  </si>
  <si>
    <t xml:space="preserve">Kind of Cargo </t>
  </si>
  <si>
    <t xml:space="preserve">VTS ÜCRETİ </t>
  </si>
  <si>
    <t xml:space="preserve">Yük Miktarı </t>
  </si>
  <si>
    <t xml:space="preserve">MESAİ DIŞI ORDİNO </t>
  </si>
  <si>
    <t xml:space="preserve">Gemini tahmini barınma günü </t>
  </si>
  <si>
    <t>TEHLİKELİ YÜK</t>
  </si>
  <si>
    <t xml:space="preserve">OTO SERVİS </t>
  </si>
  <si>
    <t>GEMİNİN DEMIRLE KALMASI BEKLENEN</t>
  </si>
  <si>
    <t>Garbage</t>
  </si>
  <si>
    <t>Demirleme Ücreti</t>
  </si>
  <si>
    <t>Sağlık Resmi ($)</t>
  </si>
  <si>
    <t>TOPLAM KIYI EMNİYETİ ($)</t>
  </si>
  <si>
    <t>Z (Sadece Sayı)</t>
  </si>
  <si>
    <t>AA (Türk TL)</t>
  </si>
  <si>
    <t>AB (Yabancı TL)</t>
  </si>
  <si>
    <t>AC (Sadece Sayı)</t>
  </si>
  <si>
    <t>AD (Fiyat $)</t>
  </si>
  <si>
    <t>Liman Hizmetleri</t>
  </si>
  <si>
    <t>kabotaj</t>
  </si>
  <si>
    <t>LÇB</t>
  </si>
  <si>
    <t>Mesai Dışı LÇB</t>
  </si>
  <si>
    <t>kılavuzluk</t>
  </si>
  <si>
    <t>ORDİNO</t>
  </si>
  <si>
    <t>GÜMRÜK SEÇ</t>
  </si>
  <si>
    <t>KILAVUZLUK</t>
  </si>
  <si>
    <t>Kabotaj hattı</t>
  </si>
  <si>
    <t>Römorkör Ücreti (Towage)</t>
  </si>
  <si>
    <t>Palamar (Mooring)</t>
  </si>
  <si>
    <t>DTO HASILATI ODA PAYI</t>
  </si>
  <si>
    <t>ACENTELİK ÜCRETİ</t>
  </si>
  <si>
    <t>BARINMA GENEL LİMANLAR</t>
  </si>
  <si>
    <t>AK (NRT Başlangıç)</t>
  </si>
  <si>
    <t>AL (Taban Fiyat €)</t>
  </si>
  <si>
    <t>AM (Ek Artış €)</t>
  </si>
  <si>
    <t>FENER</t>
  </si>
  <si>
    <t>VTS</t>
  </si>
  <si>
    <t>VDA ÜCRETİ</t>
  </si>
  <si>
    <t>Supervision fee</t>
  </si>
  <si>
    <t>Agency 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</si>
</sst>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d.MM.yyyy"/>
    <numFmt numFmtId="166" formatCode="&quot;€&quot;#,##0.0000"/>
    <numFmt numFmtId="167" formatCode="[$$]#,##0"/>
    <numFmt numFmtId="168" formatCode="[$€]#,##0"/>
    <numFmt numFmtId="169" formatCode="[$$]#,##0.00"/>
  </numFmts>
  <fonts count="40">
    <font>
      <sz val="10.0"/>
      <color rgb="FF000000"/>
      <name val="Arial"/>
      <scheme val="minor"/>
    </font>
    <font>
      <sz val="11.0"/>
      <color rgb="FFFFFFFF"/>
      <name val="&quot;Google Sans Text&quot;"/>
    </font>
    <font>
      <b/>
      <sz val="11.0"/>
      <color rgb="FFFFFFFF"/>
      <name val="&quot;Google Sans Text&quot;"/>
    </font>
    <font>
      <sz val="11.0"/>
      <color rgb="FFFFFFFF"/>
      <name val="Arial"/>
      <scheme val="minor"/>
    </font>
    <font>
      <b/>
      <sz val="11.0"/>
      <color rgb="FF1F1F1F"/>
      <name val="&quot;Google Sans Text&quot;"/>
    </font>
    <font>
      <b/>
      <sz val="11.0"/>
      <color rgb="FF000000"/>
      <name val="&quot;Google Sans Text&quot;"/>
    </font>
    <font>
      <b/>
      <sz val="11.0"/>
      <color rgb="FFFF0000"/>
      <name val="&quot;Google Sans Text&quot;"/>
    </font>
    <font>
      <sz val="11.0"/>
      <color theme="1"/>
      <name val="Arial"/>
      <scheme val="minor"/>
    </font>
    <font>
      <b/>
      <i/>
      <sz val="11.0"/>
      <color rgb="FF000000"/>
      <name val="&quot;Google Sans Text&quot;"/>
    </font>
    <font>
      <sz val="11.0"/>
      <color theme="1"/>
      <name val="Arial"/>
    </font>
    <font>
      <b/>
      <i/>
      <sz val="11.0"/>
      <color rgb="FF000000"/>
      <name val="Arial"/>
    </font>
    <font>
      <b/>
      <sz val="11.0"/>
      <color rgb="FFFF0000"/>
      <name val="Arial"/>
    </font>
    <font>
      <b/>
      <sz val="11.0"/>
      <color rgb="FFFF0000"/>
      <name val="Arial"/>
      <scheme val="minor"/>
    </font>
    <font>
      <b/>
      <i/>
      <sz val="11.0"/>
      <color theme="1"/>
      <name val="Arial"/>
      <scheme val="minor"/>
    </font>
    <font>
      <b/>
      <sz val="11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Calibri"/>
    </font>
    <font>
      <b/>
      <i/>
      <sz val="11.0"/>
      <color theme="1"/>
      <name val="Calibri"/>
    </font>
    <font>
      <u/>
      <sz val="11.0"/>
      <color theme="1"/>
      <name val="Calibri"/>
    </font>
    <font>
      <sz val="11.0"/>
      <color theme="1"/>
      <name val="Calibri"/>
    </font>
    <font>
      <b/>
      <i/>
      <color theme="1"/>
      <name val="Calibri"/>
    </font>
    <font>
      <b/>
      <color theme="1"/>
      <name val="Calibri"/>
    </font>
    <font>
      <i/>
      <sz val="9.0"/>
      <color theme="1"/>
      <name val="Calibri"/>
    </font>
    <font>
      <i/>
      <color theme="1"/>
      <name val="Calibri"/>
    </font>
    <font/>
    <font>
      <i/>
      <sz val="10.0"/>
      <color theme="1"/>
      <name val="Calibri"/>
    </font>
    <font>
      <sz val="8.0"/>
      <color theme="1"/>
      <name val="Calibri"/>
    </font>
    <font>
      <b/>
      <sz val="11.0"/>
      <color theme="1"/>
      <name val="Calibri"/>
    </font>
    <font>
      <b/>
      <i/>
      <color rgb="FFFF0000"/>
      <name val="Calibri"/>
    </font>
    <font>
      <b/>
      <i/>
      <sz val="8.0"/>
      <color rgb="FFFF0000"/>
      <name val="Calibri"/>
    </font>
    <font>
      <i/>
      <sz val="8.0"/>
      <color theme="1"/>
      <name val="Calibri"/>
    </font>
    <font>
      <i/>
      <sz val="8.0"/>
      <color rgb="FF000000"/>
      <name val="Calibri"/>
    </font>
    <font>
      <b/>
      <i/>
      <sz val="8.0"/>
      <color theme="1"/>
      <name val="Calibri"/>
    </font>
    <font>
      <b/>
      <i/>
      <sz val="9.0"/>
      <color theme="1"/>
      <name val="Calibri"/>
    </font>
    <font>
      <b/>
      <i/>
      <sz val="10.0"/>
      <color rgb="FFFFFFFF"/>
      <name val="Calibri"/>
    </font>
    <font>
      <color theme="1"/>
      <name val="Arial"/>
    </font>
    <font>
      <b/>
      <i/>
      <color theme="1"/>
      <name val="Arial"/>
    </font>
    <font>
      <color rgb="FF1F1F1F"/>
      <name val="Arial"/>
    </font>
    <font>
      <b/>
      <color theme="1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351C75"/>
        <bgColor rgb="FF351C75"/>
      </patternFill>
    </fill>
    <fill>
      <patternFill patternType="solid">
        <fgColor rgb="FFF0F4F9"/>
        <bgColor rgb="FFF0F4F9"/>
      </patternFill>
    </fill>
    <fill>
      <patternFill patternType="solid">
        <fgColor rgb="FFB7B7B7"/>
        <bgColor rgb="FFB7B7B7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144BA4"/>
        <bgColor rgb="FF144BA4"/>
      </patternFill>
    </fill>
    <fill>
      <patternFill patternType="solid">
        <fgColor rgb="FFFFFF00"/>
        <bgColor rgb="FFFFFF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right" readingOrder="0"/>
    </xf>
    <xf borderId="1" fillId="3" fontId="2" numFmtId="0" xfId="0" applyAlignment="1" applyBorder="1" applyFill="1" applyFont="1">
      <alignment horizontal="left" readingOrder="0"/>
    </xf>
    <xf borderId="0" fillId="2" fontId="3" numFmtId="0" xfId="0" applyFont="1"/>
    <xf borderId="0" fillId="4" fontId="4" numFmtId="0" xfId="0" applyAlignment="1" applyFill="1" applyFont="1">
      <alignment readingOrder="0"/>
    </xf>
    <xf borderId="0" fillId="5" fontId="5" numFmtId="0" xfId="0" applyAlignment="1" applyFill="1" applyFont="1">
      <alignment horizontal="right" readingOrder="0"/>
    </xf>
    <xf borderId="2" fillId="6" fontId="6" numFmtId="164" xfId="0" applyAlignment="1" applyBorder="1" applyFill="1" applyFont="1" applyNumberFormat="1">
      <alignment horizontal="left" readingOrder="0"/>
    </xf>
    <xf borderId="0" fillId="4" fontId="7" numFmtId="0" xfId="0" applyFont="1"/>
    <xf borderId="2" fillId="6" fontId="6" numFmtId="0" xfId="0" applyAlignment="1" applyBorder="1" applyFont="1">
      <alignment horizontal="left" readingOrder="0"/>
    </xf>
    <xf borderId="0" fillId="4" fontId="7" numFmtId="0" xfId="0" applyAlignment="1" applyFont="1">
      <alignment horizontal="center" readingOrder="0"/>
    </xf>
    <xf borderId="0" fillId="5" fontId="8" numFmtId="0" xfId="0" applyAlignment="1" applyFont="1">
      <alignment horizontal="right" readingOrder="0"/>
    </xf>
    <xf borderId="0" fillId="4" fontId="9" numFmtId="0" xfId="0" applyAlignment="1" applyFont="1">
      <alignment readingOrder="0"/>
    </xf>
    <xf borderId="0" fillId="5" fontId="10" numFmtId="0" xfId="0" applyAlignment="1" applyFont="1">
      <alignment horizontal="right" readingOrder="0"/>
    </xf>
    <xf borderId="2" fillId="6" fontId="11" numFmtId="0" xfId="0" applyAlignment="1" applyBorder="1" applyFont="1">
      <alignment horizontal="left" readingOrder="0"/>
    </xf>
    <xf borderId="2" fillId="6" fontId="12" numFmtId="0" xfId="0" applyAlignment="1" applyBorder="1" applyFont="1">
      <alignment horizontal="left"/>
    </xf>
    <xf borderId="2" fillId="6" fontId="11" numFmtId="4" xfId="0" applyAlignment="1" applyBorder="1" applyFont="1" applyNumberFormat="1">
      <alignment horizontal="left" readingOrder="0"/>
    </xf>
    <xf borderId="0" fillId="5" fontId="10" numFmtId="0" xfId="0" applyAlignment="1" applyFont="1">
      <alignment horizontal="right" readingOrder="0" vertical="top"/>
    </xf>
    <xf borderId="2" fillId="6" fontId="12" numFmtId="0" xfId="0" applyAlignment="1" applyBorder="1" applyFont="1">
      <alignment horizontal="left" readingOrder="0"/>
    </xf>
    <xf borderId="0" fillId="4" fontId="7" numFmtId="0" xfId="0" applyAlignment="1" applyFont="1">
      <alignment readingOrder="0"/>
    </xf>
    <xf borderId="0" fillId="7" fontId="13" numFmtId="0" xfId="0" applyAlignment="1" applyFill="1" applyFont="1">
      <alignment readingOrder="0"/>
    </xf>
    <xf borderId="0" fillId="5" fontId="14" numFmtId="0" xfId="0" applyAlignment="1" applyFont="1">
      <alignment horizontal="right" readingOrder="0"/>
    </xf>
    <xf borderId="2" fillId="8" fontId="15" numFmtId="0" xfId="0" applyAlignment="1" applyBorder="1" applyFill="1" applyFont="1">
      <alignment horizontal="left"/>
    </xf>
    <xf borderId="0" fillId="5" fontId="14" numFmtId="0" xfId="0" applyAlignment="1" applyFont="1">
      <alignment horizontal="right"/>
    </xf>
    <xf borderId="3" fillId="8" fontId="15" numFmtId="0" xfId="0" applyAlignment="1" applyBorder="1" applyFont="1">
      <alignment horizontal="left"/>
    </xf>
    <xf borderId="0" fillId="0" fontId="16" numFmtId="0" xfId="0" applyAlignment="1" applyFont="1">
      <alignment shrinkToFit="0" vertical="bottom" wrapText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0" fillId="0" fontId="16" numFmtId="0" xfId="0" applyFont="1"/>
    <xf borderId="0" fillId="0" fontId="20" numFmtId="0" xfId="0" applyAlignment="1" applyFont="1">
      <alignment readingOrder="0" shrinkToFit="0" vertical="bottom" wrapText="0"/>
    </xf>
    <xf borderId="0" fillId="0" fontId="20" numFmtId="165" xfId="0" applyFont="1" applyNumberFormat="1"/>
    <xf borderId="0" fillId="0" fontId="21" numFmtId="0" xfId="0" applyAlignment="1" applyFont="1">
      <alignment horizontal="left" shrinkToFit="0" vertical="bottom" wrapText="0"/>
    </xf>
    <xf borderId="4" fillId="0" fontId="16" numFmtId="0" xfId="0" applyAlignment="1" applyBorder="1" applyFont="1">
      <alignment readingOrder="0" shrinkToFit="0" wrapText="0"/>
    </xf>
    <xf borderId="5" fillId="0" fontId="16" numFmtId="0" xfId="0" applyAlignment="1" applyBorder="1" applyFont="1">
      <alignment shrinkToFit="0" wrapText="0"/>
    </xf>
    <xf borderId="5" fillId="0" fontId="16" numFmtId="0" xfId="0" applyAlignment="1" applyBorder="1" applyFont="1">
      <alignment horizontal="right" readingOrder="0" shrinkToFit="0" wrapText="0"/>
    </xf>
    <xf borderId="5" fillId="0" fontId="16" numFmtId="0" xfId="0" applyAlignment="1" applyBorder="1" applyFont="1">
      <alignment horizontal="left" readingOrder="0" shrinkToFit="0" wrapText="0"/>
    </xf>
    <xf borderId="6" fillId="0" fontId="16" numFmtId="0" xfId="0" applyAlignment="1" applyBorder="1" applyFont="1">
      <alignment horizontal="left" shrinkToFit="0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Font="1"/>
    <xf borderId="0" fillId="0" fontId="16" numFmtId="0" xfId="0" applyAlignment="1" applyFont="1">
      <alignment horizontal="left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left"/>
    </xf>
    <xf borderId="0" fillId="0" fontId="16" numFmtId="0" xfId="0" applyAlignment="1" applyFont="1">
      <alignment horizontal="right" shrinkToFit="0" vertical="bottom" wrapText="0"/>
    </xf>
    <xf borderId="0" fillId="0" fontId="20" numFmtId="0" xfId="0" applyAlignment="1" applyFont="1">
      <alignment horizontal="right" readingOrder="0" shrinkToFit="0" wrapText="0"/>
    </xf>
    <xf borderId="0" fillId="0" fontId="20" numFmtId="166" xfId="0" applyAlignment="1" applyFont="1" applyNumberFormat="1">
      <alignment horizontal="center" readingOrder="0" shrinkToFit="0" wrapText="0"/>
    </xf>
    <xf borderId="0" fillId="0" fontId="20" numFmtId="0" xfId="0" applyAlignment="1" applyFont="1">
      <alignment readingOrder="0" shrinkToFit="0" wrapText="0"/>
    </xf>
    <xf borderId="0" fillId="0" fontId="20" numFmtId="0" xfId="0" applyAlignment="1" applyFont="1">
      <alignment shrinkToFit="0" wrapText="0"/>
    </xf>
    <xf borderId="1" fillId="0" fontId="22" numFmtId="167" xfId="0" applyAlignment="1" applyBorder="1" applyFont="1" applyNumberFormat="1">
      <alignment horizontal="right" readingOrder="0" shrinkToFit="0" vertical="bottom" wrapText="0"/>
    </xf>
    <xf borderId="7" fillId="0" fontId="22" numFmtId="168" xfId="0" applyAlignment="1" applyBorder="1" applyFont="1" applyNumberFormat="1">
      <alignment horizontal="right" readingOrder="0" shrinkToFit="0" vertical="bottom" wrapText="0"/>
    </xf>
    <xf borderId="8" fillId="0" fontId="23" numFmtId="0" xfId="0" applyAlignment="1" applyBorder="1" applyFont="1">
      <alignment readingOrder="0" shrinkToFit="0" vertical="bottom" wrapText="0"/>
    </xf>
    <xf borderId="8" fillId="0" fontId="24" numFmtId="0" xfId="0" applyBorder="1" applyFont="1"/>
    <xf borderId="7" fillId="0" fontId="24" numFmtId="0" xfId="0" applyBorder="1" applyFont="1"/>
    <xf borderId="2" fillId="0" fontId="22" numFmtId="167" xfId="0" applyAlignment="1" applyBorder="1" applyFont="1" applyNumberFormat="1">
      <alignment horizontal="right" readingOrder="0" shrinkToFit="0" vertical="bottom" wrapText="0"/>
    </xf>
    <xf borderId="9" fillId="0" fontId="22" numFmtId="168" xfId="0" applyAlignment="1" applyBorder="1" applyFont="1" applyNumberFormat="1">
      <alignment horizontal="right" readingOrder="0" shrinkToFit="0" vertical="bottom" wrapText="0"/>
    </xf>
    <xf borderId="0" fillId="0" fontId="23" numFmtId="0" xfId="0" applyAlignment="1" applyFont="1">
      <alignment readingOrder="0" shrinkToFit="0" vertical="bottom" wrapText="0"/>
    </xf>
    <xf borderId="9" fillId="0" fontId="24" numFmtId="0" xfId="0" applyBorder="1" applyFont="1"/>
    <xf borderId="0" fillId="0" fontId="22" numFmtId="0" xfId="0" applyAlignment="1" applyFont="1">
      <alignment readingOrder="0" shrinkToFit="0" vertical="bottom" wrapText="0"/>
    </xf>
    <xf borderId="0" fillId="0" fontId="23" numFmtId="0" xfId="0" applyAlignment="1" applyFont="1">
      <alignment shrinkToFit="0" vertical="bottom" wrapText="0"/>
    </xf>
    <xf borderId="9" fillId="0" fontId="23" numFmtId="0" xfId="0" applyAlignment="1" applyBorder="1" applyFont="1">
      <alignment shrinkToFit="0" vertical="bottom" wrapText="0"/>
    </xf>
    <xf borderId="0" fillId="0" fontId="25" numFmtId="0" xfId="0" applyAlignment="1" applyFont="1">
      <alignment readingOrder="0" shrinkToFit="0" vertical="bottom" wrapText="0"/>
    </xf>
    <xf borderId="0" fillId="0" fontId="26" numFmtId="0" xfId="0" applyAlignment="1" applyFont="1">
      <alignment shrinkToFit="0" vertical="bottom" wrapText="0"/>
    </xf>
    <xf borderId="10" fillId="0" fontId="23" numFmtId="0" xfId="0" applyAlignment="1" applyBorder="1" applyFont="1">
      <alignment readingOrder="0" shrinkToFit="0" vertical="bottom" wrapText="0"/>
    </xf>
    <xf borderId="10" fillId="0" fontId="24" numFmtId="0" xfId="0" applyBorder="1" applyFont="1"/>
    <xf borderId="10" fillId="0" fontId="23" numFmtId="0" xfId="0" applyAlignment="1" applyBorder="1" applyFont="1">
      <alignment shrinkToFit="0" vertical="bottom" wrapText="0"/>
    </xf>
    <xf borderId="11" fillId="0" fontId="23" numFmtId="0" xfId="0" applyAlignment="1" applyBorder="1" applyFont="1">
      <alignment shrinkToFit="0" vertical="bottom" wrapText="0"/>
    </xf>
    <xf borderId="0" fillId="0" fontId="16" numFmtId="0" xfId="0" applyAlignment="1" applyFont="1">
      <alignment shrinkToFit="0" vertical="top" wrapText="0"/>
    </xf>
    <xf borderId="12" fillId="4" fontId="27" numFmtId="167" xfId="0" applyAlignment="1" applyBorder="1" applyFont="1" applyNumberFormat="1">
      <alignment horizontal="right" readingOrder="0" shrinkToFit="0" vertical="bottom" wrapText="0"/>
    </xf>
    <xf borderId="12" fillId="4" fontId="27" numFmtId="168" xfId="0" applyAlignment="1" applyBorder="1" applyFont="1" applyNumberFormat="1">
      <alignment horizontal="right" readingOrder="0" shrinkToFit="0" vertical="bottom" wrapText="0"/>
    </xf>
    <xf borderId="10" fillId="4" fontId="27" numFmtId="0" xfId="0" applyAlignment="1" applyBorder="1" applyFont="1">
      <alignment horizontal="left" readingOrder="0" shrinkToFit="0" vertical="bottom" wrapText="0"/>
    </xf>
    <xf borderId="11" fillId="0" fontId="24" numFmtId="0" xfId="0" applyBorder="1" applyFont="1"/>
    <xf borderId="0" fillId="0" fontId="16" numFmtId="0" xfId="0" applyAlignment="1" applyFont="1">
      <alignment horizontal="left" shrinkToFit="0" vertical="bottom" wrapText="0"/>
    </xf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 shrinkToFit="0" vertical="bottom" wrapText="0"/>
    </xf>
    <xf borderId="0" fillId="0" fontId="30" numFmtId="0" xfId="0" applyAlignment="1" applyFont="1">
      <alignment shrinkToFit="0" vertical="bottom" wrapText="0"/>
    </xf>
    <xf borderId="0" fillId="0" fontId="30" numFmtId="0" xfId="0" applyAlignment="1" applyFont="1">
      <alignment readingOrder="0" shrinkToFit="0" vertical="bottom" wrapText="0"/>
    </xf>
    <xf borderId="0" fillId="0" fontId="31" numFmtId="0" xfId="0" applyAlignment="1" applyFont="1">
      <alignment readingOrder="0" shrinkToFit="0" vertical="bottom" wrapText="0"/>
    </xf>
    <xf borderId="0" fillId="0" fontId="32" numFmtId="0" xfId="0" applyAlignment="1" applyFont="1">
      <alignment readingOrder="0" shrinkToFit="0" vertical="bottom" wrapText="0"/>
    </xf>
    <xf borderId="0" fillId="0" fontId="20" numFmtId="0" xfId="0" applyAlignment="1" applyFont="1">
      <alignment shrinkToFit="0" vertical="bottom" wrapText="0"/>
    </xf>
    <xf borderId="0" fillId="0" fontId="16" numFmtId="0" xfId="0" applyAlignment="1" applyFont="1">
      <alignment horizontal="left" shrinkToFit="0" vertical="top" wrapText="0"/>
    </xf>
    <xf borderId="0" fillId="0" fontId="33" numFmtId="0" xfId="0" applyAlignment="1" applyFont="1">
      <alignment readingOrder="0" shrinkToFit="0" vertical="bottom" wrapText="0"/>
    </xf>
    <xf borderId="0" fillId="9" fontId="34" numFmtId="0" xfId="0" applyAlignment="1" applyFill="1" applyFont="1">
      <alignment horizontal="center" readingOrder="0" shrinkToFit="0" vertical="center" wrapText="0"/>
    </xf>
    <xf borderId="0" fillId="8" fontId="34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shrinkToFit="0" vertical="bottom" wrapText="0"/>
    </xf>
    <xf borderId="9" fillId="0" fontId="23" numFmtId="0" xfId="0" applyAlignment="1" applyBorder="1" applyFont="1">
      <alignment readingOrder="0" shrinkToFit="0" vertical="bottom" wrapText="0"/>
    </xf>
    <xf borderId="0" fillId="0" fontId="35" numFmtId="0" xfId="0" applyAlignment="1" applyFont="1">
      <alignment readingOrder="0"/>
    </xf>
    <xf borderId="0" fillId="0" fontId="35" numFmtId="14" xfId="0" applyFont="1" applyNumberFormat="1"/>
    <xf borderId="0" fillId="0" fontId="35" numFmtId="0" xfId="0" applyFont="1"/>
    <xf borderId="0" fillId="10" fontId="35" numFmtId="0" xfId="0" applyAlignment="1" applyFill="1" applyFont="1">
      <alignment readingOrder="0"/>
    </xf>
    <xf borderId="0" fillId="8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4" fontId="37" numFmtId="0" xfId="0" applyFont="1"/>
    <xf borderId="0" fillId="0" fontId="38" numFmtId="0" xfId="0" applyAlignment="1" applyFont="1">
      <alignment readingOrder="0"/>
    </xf>
    <xf borderId="0" fillId="0" fontId="37" numFmtId="4" xfId="0" applyAlignment="1" applyFont="1" applyNumberFormat="1">
      <alignment readingOrder="0"/>
    </xf>
    <xf borderId="0" fillId="0" fontId="39" numFmtId="169" xfId="0" applyFont="1" applyNumberFormat="1"/>
    <xf borderId="0" fillId="8" fontId="35" numFmtId="0" xfId="0" applyFont="1"/>
    <xf borderId="0" fillId="0" fontId="35" numFmtId="0" xfId="0" applyAlignment="1" applyFont="1">
      <alignment horizontal="center"/>
    </xf>
    <xf borderId="0" fillId="0" fontId="35" numFmtId="0" xfId="0" applyAlignment="1" applyFont="1">
      <alignment horizontal="center" readingOrder="0"/>
    </xf>
    <xf borderId="0" fillId="10" fontId="35" numFmtId="0" xfId="0" applyAlignment="1" applyFont="1">
      <alignment readingOrder="0" vertical="top"/>
    </xf>
    <xf borderId="0" fillId="0" fontId="35" numFmtId="0" xfId="0" applyAlignment="1" applyFont="1">
      <alignment readingOrder="0" vertical="top"/>
    </xf>
    <xf borderId="0" fillId="0" fontId="3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1857375</xdr:colOff>
      <xdr:row>3</xdr:row>
      <xdr:rowOff>47625</xdr:rowOff>
    </xdr:from>
    <xdr:ext cx="3238500" cy="981075"/>
    <xdr:sp>
      <xdr:nvSpPr>
        <xdr:cNvPr id="3" name="Shape 3"/>
        <xdr:cNvSpPr/>
      </xdr:nvSpPr>
      <xdr:spPr>
        <a:xfrm>
          <a:off x="1989600" y="1147050"/>
          <a:ext cx="1979400" cy="4974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PDF VE KAYIT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447675</xdr:colOff>
      <xdr:row>1</xdr:row>
      <xdr:rowOff>28575</xdr:rowOff>
    </xdr:from>
    <xdr:ext cx="2447925" cy="790575"/>
    <xdr:pic>
      <xdr:nvPicPr>
        <xdr:cNvPr id="0" name="image1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628650</xdr:colOff>
      <xdr:row>1</xdr:row>
      <xdr:rowOff>66675</xdr:rowOff>
    </xdr:from>
    <xdr:ext cx="2714625" cy="800100"/>
    <xdr:pic>
      <xdr:nvPicPr>
        <xdr:cNvPr id="0" name="image2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400050</xdr:colOff>
      <xdr:row>42</xdr:row>
      <xdr:rowOff>47625</xdr:rowOff>
    </xdr:from>
    <xdr:ext cx="2076450" cy="1485900"/>
    <xdr:pic>
      <xdr:nvPicPr>
        <xdr:cNvPr id="0" name="image4.png" title="Resi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476250</xdr:colOff>
      <xdr:row>1</xdr:row>
      <xdr:rowOff>38100</xdr:rowOff>
    </xdr:from>
    <xdr:ext cx="2905125" cy="847725"/>
    <xdr:pic>
      <xdr:nvPicPr>
        <xdr:cNvPr id="0" name="image3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371475</xdr:colOff>
      <xdr:row>36</xdr:row>
      <xdr:rowOff>190500</xdr:rowOff>
    </xdr:from>
    <xdr:ext cx="2324100" cy="1152525"/>
    <xdr:pic>
      <xdr:nvPicPr>
        <xdr:cNvPr id="0" name="image5.png" title="Resi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495300</xdr:colOff>
      <xdr:row>41</xdr:row>
      <xdr:rowOff>123825</xdr:rowOff>
    </xdr:from>
    <xdr:ext cx="2019300" cy="1000125"/>
    <xdr:pic>
      <xdr:nvPicPr>
        <xdr:cNvPr id="0" name="image6.png" title="Resi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361950</xdr:colOff>
      <xdr:row>1</xdr:row>
      <xdr:rowOff>19050</xdr:rowOff>
    </xdr:from>
    <xdr:ext cx="2905125" cy="847725"/>
    <xdr:pic>
      <xdr:nvPicPr>
        <xdr:cNvPr id="0" name="image3.png" title="Resi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2" max="2" width="42.88"/>
    <col customWidth="1" min="3" max="3" width="24.63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6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5"/>
      <c r="B3" s="6"/>
      <c r="C3" s="9"/>
      <c r="D3" s="10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5"/>
      <c r="B4" s="11" t="s">
        <v>3</v>
      </c>
      <c r="C4" s="9" t="s">
        <v>4</v>
      </c>
      <c r="D4" s="8"/>
      <c r="E4" s="12"/>
      <c r="F4" s="12"/>
      <c r="G4" s="12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5"/>
      <c r="B5" s="13" t="s">
        <v>5</v>
      </c>
      <c r="C5" s="9">
        <v>1004.0</v>
      </c>
      <c r="D5" s="8"/>
      <c r="E5" s="12"/>
      <c r="F5" s="12"/>
      <c r="G5" s="12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5"/>
      <c r="B6" s="13" t="s">
        <v>6</v>
      </c>
      <c r="C6" s="9">
        <v>2298.0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5"/>
      <c r="B7" s="13" t="s">
        <v>7</v>
      </c>
      <c r="C7" s="9">
        <v>3001.0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5"/>
      <c r="B8" s="13" t="s">
        <v>8</v>
      </c>
      <c r="C8" s="9">
        <v>4.0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5"/>
      <c r="B9" s="13" t="s">
        <v>9</v>
      </c>
      <c r="C9" s="9"/>
      <c r="D9" s="8"/>
      <c r="E9" s="12"/>
      <c r="F9" s="12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5"/>
      <c r="B10" s="13" t="s">
        <v>10</v>
      </c>
      <c r="C10" s="14" t="s">
        <v>11</v>
      </c>
      <c r="D10" s="8"/>
      <c r="E10" s="12"/>
      <c r="F10" s="12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/>
      <c r="B11" s="13" t="s">
        <v>12</v>
      </c>
      <c r="C11" s="14" t="s">
        <v>13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13"/>
      <c r="C12" s="9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13" t="s">
        <v>14</v>
      </c>
      <c r="C13" s="14" t="s">
        <v>15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13" t="s">
        <v>16</v>
      </c>
      <c r="C14" s="14" t="s">
        <v>17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13"/>
      <c r="C15" s="15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13" t="s">
        <v>18</v>
      </c>
      <c r="C16" s="14" t="s">
        <v>19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13"/>
      <c r="C17" s="15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13" t="s">
        <v>20</v>
      </c>
      <c r="C18" s="14" t="s">
        <v>19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13"/>
      <c r="C19" s="1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13" t="s">
        <v>21</v>
      </c>
      <c r="C20" s="16" t="s">
        <v>22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17"/>
      <c r="C21" s="15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13" t="s">
        <v>23</v>
      </c>
      <c r="C22" s="18" t="s">
        <v>24</v>
      </c>
      <c r="D22" s="19" t="s">
        <v>25</v>
      </c>
      <c r="E22" s="20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13" t="s">
        <v>26</v>
      </c>
      <c r="C23" s="18" t="s">
        <v>27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13" t="s">
        <v>28</v>
      </c>
      <c r="C24" s="14" t="s">
        <v>29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13" t="s">
        <v>30</v>
      </c>
      <c r="C25" s="18" t="s">
        <v>31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21" t="s">
        <v>32</v>
      </c>
      <c r="C26" s="18" t="s">
        <v>33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21" t="s">
        <v>34</v>
      </c>
      <c r="C27" s="22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23"/>
      <c r="C28" s="22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23"/>
      <c r="C29" s="22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23"/>
      <c r="C30" s="22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23"/>
      <c r="C31" s="22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23"/>
      <c r="C32" s="22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23"/>
      <c r="C33" s="22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23"/>
      <c r="C34" s="22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23"/>
      <c r="C35" s="22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23"/>
      <c r="C36" s="22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23"/>
      <c r="C37" s="22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23"/>
      <c r="C38" s="22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23"/>
      <c r="C39" s="22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23"/>
      <c r="C40" s="22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23"/>
      <c r="C41" s="22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23"/>
      <c r="C42" s="22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23"/>
      <c r="C43" s="22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23"/>
      <c r="C44" s="22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23"/>
      <c r="C45" s="22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23"/>
      <c r="C46" s="22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23"/>
      <c r="C47" s="22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23"/>
      <c r="C48" s="22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23"/>
      <c r="C49" s="22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23"/>
      <c r="C50" s="22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23"/>
      <c r="C51" s="22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23"/>
      <c r="C52" s="22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23"/>
      <c r="C53" s="22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23"/>
      <c r="C54" s="22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23"/>
      <c r="C55" s="22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23"/>
      <c r="C56" s="22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23"/>
      <c r="C57" s="22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23"/>
      <c r="C58" s="22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23"/>
      <c r="C59" s="22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23"/>
      <c r="C60" s="22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23"/>
      <c r="C61" s="22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23"/>
      <c r="C62" s="22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23"/>
      <c r="C63" s="22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23"/>
      <c r="C64" s="22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23"/>
      <c r="C65" s="22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23"/>
      <c r="C66" s="22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23"/>
      <c r="C67" s="22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23"/>
      <c r="C68" s="22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23"/>
      <c r="C69" s="22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23"/>
      <c r="C70" s="22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23"/>
      <c r="C71" s="22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23"/>
      <c r="C72" s="22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23"/>
      <c r="C73" s="22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23"/>
      <c r="C74" s="22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23"/>
      <c r="C75" s="22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23"/>
      <c r="C76" s="22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23"/>
      <c r="C77" s="22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23"/>
      <c r="C78" s="22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23"/>
      <c r="C79" s="22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23"/>
      <c r="C80" s="22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23"/>
      <c r="C81" s="22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23"/>
      <c r="C82" s="22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23"/>
      <c r="C83" s="22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23"/>
      <c r="C84" s="22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23"/>
      <c r="C85" s="22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23"/>
      <c r="C86" s="22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23"/>
      <c r="C87" s="22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23"/>
      <c r="C88" s="22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23"/>
      <c r="C89" s="22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23"/>
      <c r="C90" s="22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23"/>
      <c r="C91" s="22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23"/>
      <c r="C92" s="22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23"/>
      <c r="C93" s="22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23"/>
      <c r="C94" s="22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23"/>
      <c r="C95" s="22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23"/>
      <c r="C96" s="22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23"/>
      <c r="C97" s="22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23"/>
      <c r="C98" s="22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23"/>
      <c r="C99" s="22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23"/>
      <c r="C100" s="22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23"/>
      <c r="C101" s="22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23"/>
      <c r="C102" s="22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23"/>
      <c r="C103" s="22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23"/>
      <c r="C104" s="22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23"/>
      <c r="C105" s="22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23"/>
      <c r="C106" s="22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23"/>
      <c r="C107" s="22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23"/>
      <c r="C108" s="22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23"/>
      <c r="C109" s="22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23"/>
      <c r="C110" s="22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23"/>
      <c r="C111" s="22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23"/>
      <c r="C112" s="22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23"/>
      <c r="C113" s="22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23"/>
      <c r="C114" s="22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23"/>
      <c r="C115" s="22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23"/>
      <c r="C116" s="22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23"/>
      <c r="C117" s="22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23"/>
      <c r="C118" s="22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23"/>
      <c r="C119" s="22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23"/>
      <c r="C120" s="22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23"/>
      <c r="C121" s="22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23"/>
      <c r="C122" s="22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23"/>
      <c r="C123" s="22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23"/>
      <c r="C124" s="22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23"/>
      <c r="C125" s="22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23"/>
      <c r="C126" s="22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23"/>
      <c r="C127" s="22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23"/>
      <c r="C128" s="22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23"/>
      <c r="C129" s="22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23"/>
      <c r="C130" s="22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23"/>
      <c r="C131" s="22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23"/>
      <c r="C132" s="22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23"/>
      <c r="C133" s="22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23"/>
      <c r="C134" s="22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23"/>
      <c r="C135" s="22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23"/>
      <c r="C136" s="22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23"/>
      <c r="C137" s="22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23"/>
      <c r="C138" s="22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23"/>
      <c r="C139" s="22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23"/>
      <c r="C140" s="22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23"/>
      <c r="C141" s="22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23"/>
      <c r="C142" s="22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23"/>
      <c r="C143" s="22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23"/>
      <c r="C144" s="22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23"/>
      <c r="C145" s="22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23"/>
      <c r="C146" s="22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23"/>
      <c r="C147" s="22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23"/>
      <c r="C148" s="22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23"/>
      <c r="C149" s="22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23"/>
      <c r="C150" s="22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23"/>
      <c r="C151" s="22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23"/>
      <c r="C152" s="22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23"/>
      <c r="C153" s="22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23"/>
      <c r="C154" s="22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23"/>
      <c r="C155" s="22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23"/>
      <c r="C156" s="22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23"/>
      <c r="C157" s="22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23"/>
      <c r="C158" s="22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23"/>
      <c r="C159" s="22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23"/>
      <c r="C160" s="22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23"/>
      <c r="C161" s="22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23"/>
      <c r="C162" s="22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23"/>
      <c r="C163" s="22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23"/>
      <c r="C164" s="22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23"/>
      <c r="C165" s="22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23"/>
      <c r="C166" s="22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23"/>
      <c r="C167" s="22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23"/>
      <c r="C168" s="22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23"/>
      <c r="C169" s="22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23"/>
      <c r="C170" s="22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23"/>
      <c r="C171" s="22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23"/>
      <c r="C172" s="22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23"/>
      <c r="C173" s="22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23"/>
      <c r="C174" s="22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23"/>
      <c r="C175" s="22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23"/>
      <c r="C176" s="22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23"/>
      <c r="C177" s="22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23"/>
      <c r="C178" s="22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23"/>
      <c r="C179" s="22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23"/>
      <c r="C180" s="22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23"/>
      <c r="C181" s="22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23"/>
      <c r="C182" s="22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23"/>
      <c r="C183" s="22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23"/>
      <c r="C184" s="22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23"/>
      <c r="C185" s="22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23"/>
      <c r="C186" s="22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23"/>
      <c r="C187" s="22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23"/>
      <c r="C188" s="22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23"/>
      <c r="C189" s="22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23"/>
      <c r="C190" s="22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23"/>
      <c r="C191" s="22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23"/>
      <c r="C192" s="22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23"/>
      <c r="C193" s="22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23"/>
      <c r="C194" s="22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23"/>
      <c r="C195" s="22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23"/>
      <c r="C196" s="22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23"/>
      <c r="C197" s="22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23"/>
      <c r="C198" s="22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23"/>
      <c r="C199" s="22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23"/>
      <c r="C200" s="22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23"/>
      <c r="C201" s="22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23"/>
      <c r="C202" s="22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23"/>
      <c r="C203" s="22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23"/>
      <c r="C204" s="22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23"/>
      <c r="C205" s="22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23"/>
      <c r="C206" s="22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23"/>
      <c r="C207" s="22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23"/>
      <c r="C208" s="22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23"/>
      <c r="C209" s="22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23"/>
      <c r="C210" s="22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23"/>
      <c r="C211" s="22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23"/>
      <c r="C212" s="22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23"/>
      <c r="C213" s="22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23"/>
      <c r="C214" s="22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23"/>
      <c r="C215" s="22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23"/>
      <c r="C216" s="22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23"/>
      <c r="C217" s="22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23"/>
      <c r="C218" s="22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23"/>
      <c r="C219" s="22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23"/>
      <c r="C220" s="22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23"/>
      <c r="C221" s="22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23"/>
      <c r="C222" s="22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23"/>
      <c r="C223" s="22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23"/>
      <c r="C224" s="22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23"/>
      <c r="C225" s="22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23"/>
      <c r="C226" s="22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23"/>
      <c r="C227" s="22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23"/>
      <c r="C228" s="22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23"/>
      <c r="C229" s="22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23"/>
      <c r="C230" s="22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23"/>
      <c r="C231" s="22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23"/>
      <c r="C232" s="22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23"/>
      <c r="C233" s="22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23"/>
      <c r="C234" s="22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23"/>
      <c r="C235" s="22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23"/>
      <c r="C236" s="22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23"/>
      <c r="C237" s="22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23"/>
      <c r="C238" s="22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23"/>
      <c r="C239" s="22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23"/>
      <c r="C240" s="22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23"/>
      <c r="C241" s="22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23"/>
      <c r="C242" s="22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23"/>
      <c r="C243" s="22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23"/>
      <c r="C244" s="22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23"/>
      <c r="C245" s="22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23"/>
      <c r="C246" s="22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23"/>
      <c r="C247" s="22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23"/>
      <c r="C248" s="22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23"/>
      <c r="C249" s="22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23"/>
      <c r="C250" s="22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23"/>
      <c r="C251" s="22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23"/>
      <c r="C252" s="22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23"/>
      <c r="C253" s="22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23"/>
      <c r="C254" s="22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23"/>
      <c r="C255" s="22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23"/>
      <c r="C256" s="22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23"/>
      <c r="C257" s="22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23"/>
      <c r="C258" s="22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23"/>
      <c r="C259" s="22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23"/>
      <c r="C260" s="22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23"/>
      <c r="C261" s="22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23"/>
      <c r="C262" s="22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23"/>
      <c r="C263" s="22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23"/>
      <c r="C264" s="22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23"/>
      <c r="C265" s="22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23"/>
      <c r="C266" s="22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23"/>
      <c r="C267" s="22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23"/>
      <c r="C268" s="22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23"/>
      <c r="C269" s="22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23"/>
      <c r="C270" s="22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23"/>
      <c r="C271" s="22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23"/>
      <c r="C272" s="22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23"/>
      <c r="C273" s="22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23"/>
      <c r="C274" s="22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23"/>
      <c r="C275" s="22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23"/>
      <c r="C276" s="22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23"/>
      <c r="C277" s="22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23"/>
      <c r="C278" s="22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23"/>
      <c r="C279" s="22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23"/>
      <c r="C280" s="22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23"/>
      <c r="C281" s="22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23"/>
      <c r="C282" s="22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23"/>
      <c r="C283" s="22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23"/>
      <c r="C284" s="22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23"/>
      <c r="C285" s="22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23"/>
      <c r="C286" s="22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23"/>
      <c r="C287" s="22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23"/>
      <c r="C288" s="22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23"/>
      <c r="C289" s="22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23"/>
      <c r="C290" s="22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23"/>
      <c r="C291" s="22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23"/>
      <c r="C292" s="22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23"/>
      <c r="C293" s="22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23"/>
      <c r="C294" s="22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23"/>
      <c r="C295" s="22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23"/>
      <c r="C296" s="22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23"/>
      <c r="C297" s="22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23"/>
      <c r="C298" s="22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23"/>
      <c r="C299" s="22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23"/>
      <c r="C300" s="22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23"/>
      <c r="C301" s="22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23"/>
      <c r="C302" s="22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23"/>
      <c r="C303" s="22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23"/>
      <c r="C304" s="22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23"/>
      <c r="C305" s="22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23"/>
      <c r="C306" s="22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23"/>
      <c r="C307" s="22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23"/>
      <c r="C308" s="22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23"/>
      <c r="C309" s="22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23"/>
      <c r="C310" s="22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23"/>
      <c r="C311" s="22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23"/>
      <c r="C312" s="22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23"/>
      <c r="C313" s="22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23"/>
      <c r="C314" s="22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23"/>
      <c r="C315" s="22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23"/>
      <c r="C316" s="22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23"/>
      <c r="C317" s="22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23"/>
      <c r="C318" s="22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23"/>
      <c r="C319" s="22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23"/>
      <c r="C320" s="22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23"/>
      <c r="C321" s="22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23"/>
      <c r="C322" s="22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23"/>
      <c r="C323" s="22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23"/>
      <c r="C324" s="22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23"/>
      <c r="C325" s="22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23"/>
      <c r="C326" s="22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23"/>
      <c r="C327" s="22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23"/>
      <c r="C328" s="22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23"/>
      <c r="C329" s="22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23"/>
      <c r="C330" s="22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23"/>
      <c r="C331" s="22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23"/>
      <c r="C332" s="22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23"/>
      <c r="C333" s="22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23"/>
      <c r="C334" s="22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23"/>
      <c r="C335" s="22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23"/>
      <c r="C336" s="22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23"/>
      <c r="C337" s="22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23"/>
      <c r="C338" s="22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23"/>
      <c r="C339" s="22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23"/>
      <c r="C340" s="22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23"/>
      <c r="C341" s="22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23"/>
      <c r="C342" s="22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23"/>
      <c r="C343" s="22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23"/>
      <c r="C344" s="22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23"/>
      <c r="C345" s="22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23"/>
      <c r="C346" s="22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23"/>
      <c r="C347" s="22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23"/>
      <c r="C348" s="22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23"/>
      <c r="C349" s="22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23"/>
      <c r="C350" s="22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23"/>
      <c r="C351" s="22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23"/>
      <c r="C352" s="22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23"/>
      <c r="C353" s="22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23"/>
      <c r="C354" s="22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23"/>
      <c r="C355" s="22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23"/>
      <c r="C356" s="22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23"/>
      <c r="C357" s="22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23"/>
      <c r="C358" s="22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23"/>
      <c r="C359" s="22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23"/>
      <c r="C360" s="22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23"/>
      <c r="C361" s="22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23"/>
      <c r="C362" s="22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23"/>
      <c r="C363" s="22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23"/>
      <c r="C364" s="22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23"/>
      <c r="C365" s="22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23"/>
      <c r="C366" s="22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23"/>
      <c r="C367" s="22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23"/>
      <c r="C368" s="22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23"/>
      <c r="C369" s="22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23"/>
      <c r="C370" s="22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23"/>
      <c r="C371" s="22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23"/>
      <c r="C372" s="22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23"/>
      <c r="C373" s="22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23"/>
      <c r="C374" s="22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23"/>
      <c r="C375" s="22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23"/>
      <c r="C376" s="22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23"/>
      <c r="C377" s="22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23"/>
      <c r="C378" s="22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23"/>
      <c r="C379" s="22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23"/>
      <c r="C380" s="22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23"/>
      <c r="C381" s="22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23"/>
      <c r="C382" s="22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23"/>
      <c r="C383" s="22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23"/>
      <c r="C384" s="22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23"/>
      <c r="C385" s="22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23"/>
      <c r="C386" s="22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23"/>
      <c r="C387" s="22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23"/>
      <c r="C388" s="22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23"/>
      <c r="C389" s="22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23"/>
      <c r="C390" s="22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23"/>
      <c r="C391" s="22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23"/>
      <c r="C392" s="22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23"/>
      <c r="C393" s="22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23"/>
      <c r="C394" s="22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23"/>
      <c r="C395" s="22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23"/>
      <c r="C396" s="22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23"/>
      <c r="C397" s="22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23"/>
      <c r="C398" s="22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23"/>
      <c r="C399" s="22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23"/>
      <c r="C400" s="22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23"/>
      <c r="C401" s="22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23"/>
      <c r="C402" s="22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23"/>
      <c r="C403" s="22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23"/>
      <c r="C404" s="22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23"/>
      <c r="C405" s="22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23"/>
      <c r="C406" s="22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23"/>
      <c r="C407" s="22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23"/>
      <c r="C408" s="22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23"/>
      <c r="C409" s="22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23"/>
      <c r="C410" s="22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23"/>
      <c r="C411" s="22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23"/>
      <c r="C412" s="22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23"/>
      <c r="C413" s="22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23"/>
      <c r="C414" s="22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23"/>
      <c r="C415" s="22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23"/>
      <c r="C416" s="22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23"/>
      <c r="C417" s="22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23"/>
      <c r="C418" s="22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23"/>
      <c r="C419" s="22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23"/>
      <c r="C420" s="22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23"/>
      <c r="C421" s="22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23"/>
      <c r="C422" s="22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23"/>
      <c r="C423" s="22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23"/>
      <c r="C424" s="22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23"/>
      <c r="C425" s="22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23"/>
      <c r="C426" s="22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23"/>
      <c r="C427" s="22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23"/>
      <c r="C428" s="22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23"/>
      <c r="C429" s="22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23"/>
      <c r="C430" s="22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23"/>
      <c r="C431" s="22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23"/>
      <c r="C432" s="22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23"/>
      <c r="C433" s="22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23"/>
      <c r="C434" s="22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23"/>
      <c r="C435" s="22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23"/>
      <c r="C436" s="22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23"/>
      <c r="C437" s="22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23"/>
      <c r="C438" s="22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23"/>
      <c r="C439" s="22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23"/>
      <c r="C440" s="22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23"/>
      <c r="C441" s="22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23"/>
      <c r="C442" s="22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23"/>
      <c r="C443" s="22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23"/>
      <c r="C444" s="22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23"/>
      <c r="C445" s="22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23"/>
      <c r="C446" s="22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23"/>
      <c r="C447" s="22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23"/>
      <c r="C448" s="22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23"/>
      <c r="C449" s="22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23"/>
      <c r="C450" s="22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23"/>
      <c r="C451" s="22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23"/>
      <c r="C452" s="22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23"/>
      <c r="C453" s="22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23"/>
      <c r="C454" s="22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23"/>
      <c r="C455" s="22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23"/>
      <c r="C456" s="22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23"/>
      <c r="C457" s="22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23"/>
      <c r="C458" s="22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23"/>
      <c r="C459" s="22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23"/>
      <c r="C460" s="22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23"/>
      <c r="C461" s="22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23"/>
      <c r="C462" s="22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23"/>
      <c r="C463" s="22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23"/>
      <c r="C464" s="22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23"/>
      <c r="C465" s="22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23"/>
      <c r="C466" s="22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23"/>
      <c r="C467" s="22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23"/>
      <c r="C468" s="22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23"/>
      <c r="C469" s="22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23"/>
      <c r="C470" s="22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23"/>
      <c r="C471" s="22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23"/>
      <c r="C472" s="22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23"/>
      <c r="C473" s="22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23"/>
      <c r="C474" s="22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23"/>
      <c r="C475" s="22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23"/>
      <c r="C476" s="22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23"/>
      <c r="C477" s="22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23"/>
      <c r="C478" s="22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23"/>
      <c r="C479" s="22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23"/>
      <c r="C480" s="22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23"/>
      <c r="C481" s="22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23"/>
      <c r="C482" s="22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23"/>
      <c r="C483" s="22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23"/>
      <c r="C484" s="22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23"/>
      <c r="C485" s="22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23"/>
      <c r="C486" s="22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23"/>
      <c r="C487" s="22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23"/>
      <c r="C488" s="22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23"/>
      <c r="C489" s="22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23"/>
      <c r="C490" s="22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23"/>
      <c r="C491" s="22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23"/>
      <c r="C492" s="22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23"/>
      <c r="C493" s="22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23"/>
      <c r="C494" s="22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23"/>
      <c r="C495" s="22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23"/>
      <c r="C496" s="22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23"/>
      <c r="C497" s="22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23"/>
      <c r="C498" s="22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23"/>
      <c r="C499" s="22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23"/>
      <c r="C500" s="22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23"/>
      <c r="C501" s="22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23"/>
      <c r="C502" s="22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23"/>
      <c r="C503" s="22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23"/>
      <c r="C504" s="22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23"/>
      <c r="C505" s="22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23"/>
      <c r="C506" s="22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23"/>
      <c r="C507" s="22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23"/>
      <c r="C508" s="22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23"/>
      <c r="C509" s="22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23"/>
      <c r="C510" s="22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23"/>
      <c r="C511" s="22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23"/>
      <c r="C512" s="22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23"/>
      <c r="C513" s="22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23"/>
      <c r="C514" s="22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23"/>
      <c r="C515" s="22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23"/>
      <c r="C516" s="22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23"/>
      <c r="C517" s="22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23"/>
      <c r="C518" s="22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23"/>
      <c r="C519" s="22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23"/>
      <c r="C520" s="22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23"/>
      <c r="C521" s="22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23"/>
      <c r="C522" s="22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23"/>
      <c r="C523" s="22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23"/>
      <c r="C524" s="22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23"/>
      <c r="C525" s="22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23"/>
      <c r="C526" s="22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23"/>
      <c r="C527" s="22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23"/>
      <c r="C528" s="22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23"/>
      <c r="C529" s="22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23"/>
      <c r="C530" s="22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23"/>
      <c r="C531" s="22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23"/>
      <c r="C532" s="22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23"/>
      <c r="C533" s="22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23"/>
      <c r="C534" s="22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23"/>
      <c r="C535" s="22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23"/>
      <c r="C536" s="22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23"/>
      <c r="C537" s="22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23"/>
      <c r="C538" s="22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23"/>
      <c r="C539" s="22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23"/>
      <c r="C540" s="22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23"/>
      <c r="C541" s="22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23"/>
      <c r="C542" s="22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23"/>
      <c r="C543" s="22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23"/>
      <c r="C544" s="22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23"/>
      <c r="C545" s="22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23"/>
      <c r="C546" s="22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23"/>
      <c r="C547" s="22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23"/>
      <c r="C548" s="22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23"/>
      <c r="C549" s="22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23"/>
      <c r="C550" s="22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23"/>
      <c r="C551" s="22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23"/>
      <c r="C552" s="22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23"/>
      <c r="C553" s="22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23"/>
      <c r="C554" s="22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23"/>
      <c r="C555" s="22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23"/>
      <c r="C556" s="22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23"/>
      <c r="C557" s="22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23"/>
      <c r="C558" s="22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23"/>
      <c r="C559" s="22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23"/>
      <c r="C560" s="22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23"/>
      <c r="C561" s="22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23"/>
      <c r="C562" s="22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23"/>
      <c r="C563" s="22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23"/>
      <c r="C564" s="22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23"/>
      <c r="C565" s="22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23"/>
      <c r="C566" s="22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23"/>
      <c r="C567" s="22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23"/>
      <c r="C568" s="22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23"/>
      <c r="C569" s="22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23"/>
      <c r="C570" s="22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23"/>
      <c r="C571" s="22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23"/>
      <c r="C572" s="22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23"/>
      <c r="C573" s="22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23"/>
      <c r="C574" s="22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23"/>
      <c r="C575" s="22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23"/>
      <c r="C576" s="22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23"/>
      <c r="C577" s="22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23"/>
      <c r="C578" s="22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23"/>
      <c r="C579" s="22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23"/>
      <c r="C580" s="22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23"/>
      <c r="C581" s="22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23"/>
      <c r="C582" s="22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23"/>
      <c r="C583" s="22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23"/>
      <c r="C584" s="22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23"/>
      <c r="C585" s="22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23"/>
      <c r="C586" s="22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23"/>
      <c r="C587" s="22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23"/>
      <c r="C588" s="22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23"/>
      <c r="C589" s="22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23"/>
      <c r="C590" s="22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23"/>
      <c r="C591" s="22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23"/>
      <c r="C592" s="22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23"/>
      <c r="C593" s="22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23"/>
      <c r="C594" s="22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23"/>
      <c r="C595" s="22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23"/>
      <c r="C596" s="22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23"/>
      <c r="C597" s="22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23"/>
      <c r="C598" s="22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23"/>
      <c r="C599" s="22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23"/>
      <c r="C600" s="22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23"/>
      <c r="C601" s="22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23"/>
      <c r="C602" s="22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23"/>
      <c r="C603" s="22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23"/>
      <c r="C604" s="22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23"/>
      <c r="C605" s="22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23"/>
      <c r="C606" s="22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23"/>
      <c r="C607" s="22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23"/>
      <c r="C608" s="22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23"/>
      <c r="C609" s="22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23"/>
      <c r="C610" s="22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23"/>
      <c r="C611" s="22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23"/>
      <c r="C612" s="22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23"/>
      <c r="C613" s="22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23"/>
      <c r="C614" s="22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23"/>
      <c r="C615" s="22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23"/>
      <c r="C616" s="22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23"/>
      <c r="C617" s="22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23"/>
      <c r="C618" s="22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23"/>
      <c r="C619" s="22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23"/>
      <c r="C620" s="22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23"/>
      <c r="C621" s="22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23"/>
      <c r="C622" s="22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23"/>
      <c r="C623" s="22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23"/>
      <c r="C624" s="22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23"/>
      <c r="C625" s="22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23"/>
      <c r="C626" s="22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23"/>
      <c r="C627" s="22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23"/>
      <c r="C628" s="22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23"/>
      <c r="C629" s="22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23"/>
      <c r="C630" s="22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23"/>
      <c r="C631" s="22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23"/>
      <c r="C632" s="22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23"/>
      <c r="C633" s="22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23"/>
      <c r="C634" s="22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23"/>
      <c r="C635" s="22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23"/>
      <c r="C636" s="22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23"/>
      <c r="C637" s="22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23"/>
      <c r="C638" s="22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23"/>
      <c r="C639" s="22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23"/>
      <c r="C640" s="22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23"/>
      <c r="C641" s="22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23"/>
      <c r="C642" s="22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23"/>
      <c r="C643" s="22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23"/>
      <c r="C644" s="22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23"/>
      <c r="C645" s="22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23"/>
      <c r="C646" s="22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23"/>
      <c r="C647" s="22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23"/>
      <c r="C648" s="22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23"/>
      <c r="C649" s="22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23"/>
      <c r="C650" s="22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23"/>
      <c r="C651" s="22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23"/>
      <c r="C652" s="22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23"/>
      <c r="C653" s="22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23"/>
      <c r="C654" s="22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23"/>
      <c r="C655" s="22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23"/>
      <c r="C656" s="22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23"/>
      <c r="C657" s="22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23"/>
      <c r="C658" s="22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23"/>
      <c r="C659" s="22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23"/>
      <c r="C660" s="22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23"/>
      <c r="C661" s="22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23"/>
      <c r="C662" s="22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23"/>
      <c r="C663" s="22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23"/>
      <c r="C664" s="22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23"/>
      <c r="C665" s="22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23"/>
      <c r="C666" s="22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23"/>
      <c r="C667" s="22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23"/>
      <c r="C668" s="22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23"/>
      <c r="C669" s="22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23"/>
      <c r="C670" s="22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23"/>
      <c r="C671" s="22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23"/>
      <c r="C672" s="22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23"/>
      <c r="C673" s="22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23"/>
      <c r="C674" s="22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23"/>
      <c r="C675" s="22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23"/>
      <c r="C676" s="22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23"/>
      <c r="C677" s="22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23"/>
      <c r="C678" s="22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23"/>
      <c r="C679" s="22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23"/>
      <c r="C680" s="22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23"/>
      <c r="C681" s="22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23"/>
      <c r="C682" s="22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23"/>
      <c r="C683" s="22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23"/>
      <c r="C684" s="22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23"/>
      <c r="C685" s="22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23"/>
      <c r="C686" s="22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23"/>
      <c r="C687" s="22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23"/>
      <c r="C688" s="22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23"/>
      <c r="C689" s="22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23"/>
      <c r="C690" s="22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23"/>
      <c r="C691" s="22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23"/>
      <c r="C692" s="22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23"/>
      <c r="C693" s="22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23"/>
      <c r="C694" s="22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23"/>
      <c r="C695" s="22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23"/>
      <c r="C696" s="22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23"/>
      <c r="C697" s="22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23"/>
      <c r="C698" s="22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23"/>
      <c r="C699" s="22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23"/>
      <c r="C700" s="22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23"/>
      <c r="C701" s="22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23"/>
      <c r="C702" s="22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23"/>
      <c r="C703" s="22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23"/>
      <c r="C704" s="22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23"/>
      <c r="C705" s="22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23"/>
      <c r="C706" s="22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23"/>
      <c r="C707" s="22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23"/>
      <c r="C708" s="22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23"/>
      <c r="C709" s="22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23"/>
      <c r="C710" s="22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23"/>
      <c r="C711" s="22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23"/>
      <c r="C712" s="22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23"/>
      <c r="C713" s="22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23"/>
      <c r="C714" s="22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23"/>
      <c r="C715" s="22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23"/>
      <c r="C716" s="22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23"/>
      <c r="C717" s="22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23"/>
      <c r="C718" s="22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23"/>
      <c r="C719" s="22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23"/>
      <c r="C720" s="22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23"/>
      <c r="C721" s="22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23"/>
      <c r="C722" s="22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23"/>
      <c r="C723" s="22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23"/>
      <c r="C724" s="22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23"/>
      <c r="C725" s="22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23"/>
      <c r="C726" s="22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23"/>
      <c r="C727" s="22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23"/>
      <c r="C728" s="22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23"/>
      <c r="C729" s="22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23"/>
      <c r="C730" s="22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23"/>
      <c r="C731" s="22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23"/>
      <c r="C732" s="22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23"/>
      <c r="C733" s="22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23"/>
      <c r="C734" s="22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23"/>
      <c r="C735" s="22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23"/>
      <c r="C736" s="22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23"/>
      <c r="C737" s="22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23"/>
      <c r="C738" s="22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23"/>
      <c r="C739" s="22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23"/>
      <c r="C740" s="22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23"/>
      <c r="C741" s="22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23"/>
      <c r="C742" s="22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23"/>
      <c r="C743" s="22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23"/>
      <c r="C744" s="22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23"/>
      <c r="C745" s="22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23"/>
      <c r="C746" s="22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23"/>
      <c r="C747" s="22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23"/>
      <c r="C748" s="22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23"/>
      <c r="C749" s="22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23"/>
      <c r="C750" s="22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23"/>
      <c r="C751" s="22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23"/>
      <c r="C752" s="22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23"/>
      <c r="C753" s="22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23"/>
      <c r="C754" s="22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23"/>
      <c r="C755" s="22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23"/>
      <c r="C756" s="22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23"/>
      <c r="C757" s="22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23"/>
      <c r="C758" s="22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23"/>
      <c r="C759" s="22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23"/>
      <c r="C760" s="22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23"/>
      <c r="C761" s="22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23"/>
      <c r="C762" s="22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23"/>
      <c r="C763" s="22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23"/>
      <c r="C764" s="22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23"/>
      <c r="C765" s="22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23"/>
      <c r="C766" s="22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23"/>
      <c r="C767" s="22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23"/>
      <c r="C768" s="22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23"/>
      <c r="C769" s="22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23"/>
      <c r="C770" s="22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23"/>
      <c r="C771" s="22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23"/>
      <c r="C772" s="22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23"/>
      <c r="C773" s="22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23"/>
      <c r="C774" s="22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23"/>
      <c r="C775" s="22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23"/>
      <c r="C776" s="22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23"/>
      <c r="C777" s="22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23"/>
      <c r="C778" s="22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23"/>
      <c r="C779" s="22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23"/>
      <c r="C780" s="22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23"/>
      <c r="C781" s="22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23"/>
      <c r="C782" s="22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23"/>
      <c r="C783" s="22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23"/>
      <c r="C784" s="22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23"/>
      <c r="C785" s="22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23"/>
      <c r="C786" s="22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23"/>
      <c r="C787" s="22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23"/>
      <c r="C788" s="22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23"/>
      <c r="C789" s="22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23"/>
      <c r="C790" s="22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23"/>
      <c r="C791" s="22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23"/>
      <c r="C792" s="22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23"/>
      <c r="C793" s="22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23"/>
      <c r="C794" s="22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23"/>
      <c r="C795" s="22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23"/>
      <c r="C796" s="22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23"/>
      <c r="C797" s="22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23"/>
      <c r="C798" s="22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23"/>
      <c r="C799" s="22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23"/>
      <c r="C800" s="22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23"/>
      <c r="C801" s="22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23"/>
      <c r="C802" s="22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23"/>
      <c r="C803" s="22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23"/>
      <c r="C804" s="22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23"/>
      <c r="C805" s="22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23"/>
      <c r="C806" s="22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23"/>
      <c r="C807" s="22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23"/>
      <c r="C808" s="22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23"/>
      <c r="C809" s="22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23"/>
      <c r="C810" s="22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23"/>
      <c r="C811" s="22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23"/>
      <c r="C812" s="22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23"/>
      <c r="C813" s="22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23"/>
      <c r="C814" s="22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23"/>
      <c r="C815" s="22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23"/>
      <c r="C816" s="22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23"/>
      <c r="C817" s="22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23"/>
      <c r="C818" s="22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23"/>
      <c r="C819" s="22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23"/>
      <c r="C820" s="22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23"/>
      <c r="C821" s="22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23"/>
      <c r="C822" s="22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23"/>
      <c r="C823" s="22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23"/>
      <c r="C824" s="22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23"/>
      <c r="C825" s="22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23"/>
      <c r="C826" s="22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23"/>
      <c r="C827" s="22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23"/>
      <c r="C828" s="22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23"/>
      <c r="C829" s="22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23"/>
      <c r="C830" s="22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23"/>
      <c r="C831" s="22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23"/>
      <c r="C832" s="22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23"/>
      <c r="C833" s="22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23"/>
      <c r="C834" s="22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23"/>
      <c r="C835" s="22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23"/>
      <c r="C836" s="22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23"/>
      <c r="C837" s="22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23"/>
      <c r="C838" s="22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23"/>
      <c r="C839" s="22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23"/>
      <c r="C840" s="22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23"/>
      <c r="C841" s="22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23"/>
      <c r="C842" s="22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23"/>
      <c r="C843" s="22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23"/>
      <c r="C844" s="22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23"/>
      <c r="C845" s="22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23"/>
      <c r="C846" s="22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23"/>
      <c r="C847" s="22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23"/>
      <c r="C848" s="22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23"/>
      <c r="C849" s="22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23"/>
      <c r="C850" s="22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23"/>
      <c r="C851" s="22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23"/>
      <c r="C852" s="22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23"/>
      <c r="C853" s="22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23"/>
      <c r="C854" s="22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23"/>
      <c r="C855" s="22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23"/>
      <c r="C856" s="22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23"/>
      <c r="C857" s="22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23"/>
      <c r="C858" s="22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23"/>
      <c r="C859" s="22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23"/>
      <c r="C860" s="22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23"/>
      <c r="C861" s="22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23"/>
      <c r="C862" s="22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23"/>
      <c r="C863" s="22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23"/>
      <c r="C864" s="22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23"/>
      <c r="C865" s="22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23"/>
      <c r="C866" s="22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23"/>
      <c r="C867" s="22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23"/>
      <c r="C868" s="22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23"/>
      <c r="C869" s="22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23"/>
      <c r="C870" s="22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23"/>
      <c r="C871" s="22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23"/>
      <c r="C872" s="22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23"/>
      <c r="C873" s="22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23"/>
      <c r="C874" s="22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23"/>
      <c r="C875" s="22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23"/>
      <c r="C876" s="22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23"/>
      <c r="C877" s="22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23"/>
      <c r="C878" s="22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23"/>
      <c r="C879" s="22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23"/>
      <c r="C880" s="22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23"/>
      <c r="C881" s="22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23"/>
      <c r="C882" s="22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23"/>
      <c r="C883" s="22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23"/>
      <c r="C884" s="22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23"/>
      <c r="C885" s="22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23"/>
      <c r="C886" s="22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23"/>
      <c r="C887" s="22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23"/>
      <c r="C888" s="22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23"/>
      <c r="C889" s="22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23"/>
      <c r="C890" s="22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23"/>
      <c r="C891" s="22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23"/>
      <c r="C892" s="22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23"/>
      <c r="C893" s="22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23"/>
      <c r="C894" s="22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23"/>
      <c r="C895" s="22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23"/>
      <c r="C896" s="22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23"/>
      <c r="C897" s="22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23"/>
      <c r="C898" s="22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23"/>
      <c r="C899" s="22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23"/>
      <c r="C900" s="22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23"/>
      <c r="C901" s="22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23"/>
      <c r="C902" s="22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23"/>
      <c r="C903" s="22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23"/>
      <c r="C904" s="22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23"/>
      <c r="C905" s="22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23"/>
      <c r="C906" s="22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23"/>
      <c r="C907" s="22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23"/>
      <c r="C908" s="22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23"/>
      <c r="C909" s="22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23"/>
      <c r="C910" s="22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23"/>
      <c r="C911" s="22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23"/>
      <c r="C912" s="22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23"/>
      <c r="C913" s="22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23"/>
      <c r="C914" s="22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23"/>
      <c r="C915" s="22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23"/>
      <c r="C916" s="22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23"/>
      <c r="C917" s="22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23"/>
      <c r="C918" s="22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23"/>
      <c r="C919" s="22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23"/>
      <c r="C920" s="22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23"/>
      <c r="C921" s="22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23"/>
      <c r="C922" s="22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23"/>
      <c r="C923" s="22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23"/>
      <c r="C924" s="22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23"/>
      <c r="C925" s="22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23"/>
      <c r="C926" s="22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23"/>
      <c r="C927" s="22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23"/>
      <c r="C928" s="22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23"/>
      <c r="C929" s="22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23"/>
      <c r="C930" s="22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23"/>
      <c r="C931" s="22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23"/>
      <c r="C932" s="22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23"/>
      <c r="C933" s="22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23"/>
      <c r="C934" s="22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23"/>
      <c r="C935" s="22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23"/>
      <c r="C936" s="22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23"/>
      <c r="C937" s="22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23"/>
      <c r="C938" s="22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23"/>
      <c r="C939" s="22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23"/>
      <c r="C940" s="22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23"/>
      <c r="C941" s="22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23"/>
      <c r="C942" s="22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23"/>
      <c r="C943" s="22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23"/>
      <c r="C944" s="22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23"/>
      <c r="C945" s="22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23"/>
      <c r="C946" s="22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23"/>
      <c r="C947" s="22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23"/>
      <c r="C948" s="22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23"/>
      <c r="C949" s="22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23"/>
      <c r="C950" s="22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23"/>
      <c r="C951" s="22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23"/>
      <c r="C952" s="22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23"/>
      <c r="C953" s="22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23"/>
      <c r="C954" s="22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23"/>
      <c r="C955" s="22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23"/>
      <c r="C956" s="22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23"/>
      <c r="C957" s="22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23"/>
      <c r="C958" s="22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23"/>
      <c r="C959" s="22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23"/>
      <c r="C960" s="22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23"/>
      <c r="C961" s="22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23"/>
      <c r="C962" s="22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23"/>
      <c r="C963" s="22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23"/>
      <c r="C964" s="22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23"/>
      <c r="C965" s="22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23"/>
      <c r="C966" s="22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23"/>
      <c r="C967" s="22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23"/>
      <c r="C968" s="22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23"/>
      <c r="C969" s="22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23"/>
      <c r="C970" s="22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23"/>
      <c r="C971" s="22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23"/>
      <c r="C972" s="22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23"/>
      <c r="C973" s="22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23"/>
      <c r="C974" s="22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23"/>
      <c r="C975" s="22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23"/>
      <c r="C976" s="22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23"/>
      <c r="C977" s="22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23"/>
      <c r="C978" s="22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23"/>
      <c r="C979" s="22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23"/>
      <c r="C980" s="22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23"/>
      <c r="C981" s="22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23"/>
      <c r="C982" s="22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23"/>
      <c r="C983" s="22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23"/>
      <c r="C984" s="22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23"/>
      <c r="C985" s="22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23"/>
      <c r="C986" s="22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23"/>
      <c r="C987" s="22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23"/>
      <c r="C988" s="22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23"/>
      <c r="C989" s="22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23"/>
      <c r="C990" s="22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23"/>
      <c r="C991" s="22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23"/>
      <c r="C992" s="22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23"/>
      <c r="C993" s="22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23"/>
      <c r="C994" s="22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23"/>
      <c r="C995" s="22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23"/>
      <c r="C996" s="22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23"/>
      <c r="C997" s="22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23"/>
      <c r="C998" s="22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23"/>
      <c r="C999" s="22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23"/>
      <c r="C1000" s="22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8"/>
      <c r="B1001" s="23"/>
      <c r="C1001" s="24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mergeCells count="1">
    <mergeCell ref="E22:H22"/>
  </mergeCells>
  <dataValidations>
    <dataValidation type="list" allowBlank="1" showErrorMessage="1" sqref="C10">
      <formula1>"EVET ,HAYIR "</formula1>
    </dataValidation>
    <dataValidation type="list" allowBlank="1" showErrorMessage="1" sqref="C24">
      <formula1>"Loading ,Discharging"</formula1>
    </dataValidation>
    <dataValidation type="list" allowBlank="1" showErrorMessage="1" sqref="C11">
      <formula1>"İTHALAT,İHRACAT,ALİAĞA,TEKİRDAĞ"</formula1>
    </dataValidation>
    <dataValidation type="list" allowBlank="1" showErrorMessage="1" sqref="C18">
      <formula1>"TÜRK,YABANCI,KABOTAJ"</formula1>
    </dataValidation>
    <dataValidation type="list" allowBlank="1" showErrorMessage="1" sqref="C14">
      <formula1>"YABANCI,TÜRK,KABOTAJ,İZMİR/TCDD"</formula1>
    </dataValidation>
    <dataValidation type="list" allowBlank="1" showErrorMessage="1" sqref="C13">
      <formula1>"TÜRK / CHAMBER OF SHIPPING FEE,YABANCI / CHAMBER OF SHIPPING FEE"</formula1>
    </dataValidation>
    <dataValidation type="list" allowBlank="1" showErrorMessage="1" sqref="C16">
      <formula1>"YABANCI,TÜRK,KABOTAJ"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38"/>
  </cols>
  <sheetData>
    <row r="1" ht="24.0" customHeight="1">
      <c r="A1" s="25"/>
      <c r="B1" s="26" t="str">
        <f>"PROFORMA D/A – INVOICE (Ref: " &amp; 'GİRİŞ'!C20 &amp; " - " &amp; 'GİRİŞ'!C4 &amp; " Call at " &amp; 'GİRİŞ'!C26 &amp; ")"</f>
        <v>PROFORMA D/A – INVOICE (Ref: 2026/1202 - M/T ALSU Call at IZMIR)</v>
      </c>
      <c r="C1" s="27"/>
      <c r="D1" s="27"/>
      <c r="E1" s="27"/>
      <c r="F1" s="28"/>
      <c r="G1" s="25"/>
      <c r="H1" s="25"/>
      <c r="I1" s="25"/>
      <c r="J1" s="25"/>
      <c r="K1" s="25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0"/>
      <c r="C3" s="29"/>
      <c r="D3" s="25"/>
      <c r="E3" s="25"/>
      <c r="F3" s="25"/>
      <c r="G3" s="25"/>
      <c r="H3" s="25"/>
      <c r="I3" s="25"/>
      <c r="J3" s="25"/>
      <c r="K3" s="25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30" t="str">
        <f>"TO: " &amp; 'GİRİŞ'!C22</f>
        <v>TO: CHEMTANKERS SHIPPING SA</v>
      </c>
      <c r="D4" s="25"/>
      <c r="E4" s="25"/>
      <c r="F4" s="29"/>
      <c r="G4" s="25"/>
      <c r="H4" s="25"/>
      <c r="I4" s="25"/>
      <c r="J4" s="25"/>
      <c r="K4" s="25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31" t="str">
        <f>"DATE: " &amp; TEXT('SARI YERLERI DOLDUR'!B1, "dd.mm.yyyy")</f>
        <v>DATE: 24.02.2026</v>
      </c>
      <c r="B5" s="32"/>
      <c r="C5" s="25"/>
      <c r="D5" s="25"/>
      <c r="E5" s="25"/>
      <c r="F5" s="25"/>
      <c r="G5" s="25"/>
      <c r="H5" s="25"/>
      <c r="I5" s="25"/>
      <c r="J5" s="25"/>
      <c r="K5" s="25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30"/>
      <c r="B6" s="32"/>
      <c r="C6" s="25"/>
      <c r="D6" s="25"/>
      <c r="E6" s="25"/>
      <c r="F6" s="29"/>
      <c r="G6" s="25"/>
      <c r="H6" s="25"/>
      <c r="I6" s="25"/>
      <c r="J6" s="25"/>
      <c r="K6" s="25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29"/>
      <c r="B7" s="25"/>
      <c r="C7" s="25"/>
      <c r="D7" s="25"/>
      <c r="E7" s="25"/>
      <c r="F7" s="25"/>
      <c r="G7" s="25"/>
      <c r="H7" s="25"/>
      <c r="I7" s="25"/>
      <c r="J7" s="25"/>
      <c r="K7" s="25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33" t="s">
        <v>35</v>
      </c>
      <c r="B8" s="34"/>
      <c r="C8" s="34"/>
      <c r="D8" s="34"/>
      <c r="E8" s="35" t="s">
        <v>36</v>
      </c>
      <c r="F8" s="36" t="s">
        <v>37</v>
      </c>
      <c r="G8" s="37"/>
      <c r="H8" s="25"/>
      <c r="I8" s="25"/>
      <c r="J8" s="25"/>
      <c r="K8" s="25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38" t="s">
        <v>38</v>
      </c>
      <c r="B9" s="39" t="str">
        <f>'SARI YERLERI DOLDUR'!B7</f>
        <v>M/T ALSU</v>
      </c>
      <c r="C9" s="25"/>
      <c r="D9" s="25"/>
      <c r="E9" s="38" t="s">
        <v>39</v>
      </c>
      <c r="F9" s="40" t="str">
        <f>'SARI YERLERI DOLDUR'!E8</f>
        <v>Discharging</v>
      </c>
      <c r="G9" s="25"/>
      <c r="H9" s="25"/>
      <c r="I9" s="25"/>
      <c r="J9" s="25"/>
      <c r="K9" s="25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38" t="s">
        <v>40</v>
      </c>
      <c r="B10" s="41" t="str">
        <f>'SARI YERLERI DOLDUR'!E2</f>
        <v>TURKIYE</v>
      </c>
      <c r="C10" s="25"/>
      <c r="D10" s="25"/>
      <c r="E10" s="38" t="s">
        <v>41</v>
      </c>
      <c r="F10" s="40" t="str">
        <f>'SARI YERLERI DOLDUR'!E9</f>
        <v>SFS OIL</v>
      </c>
      <c r="G10" s="25"/>
      <c r="H10" s="25"/>
      <c r="I10" s="25"/>
      <c r="J10" s="25"/>
      <c r="K10" s="25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38" t="s">
        <v>42</v>
      </c>
      <c r="B11" s="42">
        <f>'SARI YERLERI DOLDUR'!B8</f>
        <v>1004</v>
      </c>
      <c r="C11" s="25"/>
      <c r="D11" s="25"/>
      <c r="E11" s="38" t="s">
        <v>43</v>
      </c>
      <c r="F11" s="40">
        <f>'SARI YERLERI DOLDUR'!B10</f>
        <v>3001</v>
      </c>
      <c r="G11" s="25"/>
      <c r="H11" s="25"/>
      <c r="I11" s="25"/>
      <c r="J11" s="25"/>
      <c r="K11" s="25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38" t="s">
        <v>44</v>
      </c>
      <c r="B12" s="42">
        <f>'SARI YERLERI DOLDUR'!B9</f>
        <v>2298</v>
      </c>
      <c r="C12" s="25"/>
      <c r="D12" s="25"/>
      <c r="E12" s="38" t="s">
        <v>45</v>
      </c>
      <c r="F12" s="40">
        <f>'SARI YERLERI DOLDUR'!B11</f>
        <v>4</v>
      </c>
      <c r="G12" s="25"/>
      <c r="H12" s="25"/>
      <c r="I12" s="25"/>
      <c r="J12" s="25"/>
      <c r="K12" s="25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43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44" t="s">
        <v>46</v>
      </c>
      <c r="B15" s="45">
        <f>'SARI YERLERI DOLDUR'!B6</f>
        <v>1.178495</v>
      </c>
      <c r="C15" s="46" t="s">
        <v>47</v>
      </c>
      <c r="F15" s="47"/>
      <c r="G15" s="47"/>
      <c r="H15" s="25"/>
      <c r="I15" s="25"/>
      <c r="J15" s="25"/>
      <c r="K15" s="25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48">
        <f>'SARI YERLERI DOLDUR'!B24</f>
        <v>958.386</v>
      </c>
      <c r="B16" s="49">
        <f>A16/B15</f>
        <v>813.2287367</v>
      </c>
      <c r="C16" s="50" t="s">
        <v>48</v>
      </c>
      <c r="D16" s="51"/>
      <c r="E16" s="51"/>
      <c r="F16" s="51"/>
      <c r="G16" s="52"/>
      <c r="H16" s="25"/>
      <c r="I16" s="25"/>
      <c r="J16" s="25"/>
      <c r="K16" s="25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53">
        <f>'SARI YERLERI DOLDUR'!B25</f>
        <v>1369.498</v>
      </c>
      <c r="B17" s="54">
        <f>A17/B15</f>
        <v>1162.073662</v>
      </c>
      <c r="C17" s="55" t="s">
        <v>49</v>
      </c>
      <c r="G17" s="56"/>
      <c r="H17" s="25"/>
      <c r="I17" s="25"/>
      <c r="J17" s="25"/>
      <c r="K17" s="25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53">
        <f>'SARI YERLERI DOLDUR'!B32</f>
        <v>300</v>
      </c>
      <c r="B18" s="54">
        <f>A18/B15</f>
        <v>254.5619625</v>
      </c>
      <c r="C18" s="57" t="s">
        <v>50</v>
      </c>
      <c r="E18" s="58"/>
      <c r="F18" s="58"/>
      <c r="G18" s="59"/>
      <c r="H18" s="25"/>
      <c r="I18" s="25"/>
      <c r="J18" s="25"/>
      <c r="K18" s="25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53">
        <f>'SARI YERLERI DOLDUR'!B26</f>
        <v>117.416</v>
      </c>
      <c r="B19" s="54">
        <f>A19/B15</f>
        <v>99.63215796</v>
      </c>
      <c r="C19" s="55" t="s">
        <v>51</v>
      </c>
      <c r="G19" s="56"/>
      <c r="H19" s="25"/>
      <c r="I19" s="25"/>
      <c r="J19" s="25"/>
      <c r="K19" s="25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53">
        <f>'SARI YERLERI DOLDUR'!B14</f>
        <v>164.9893</v>
      </c>
      <c r="B20" s="54">
        <f>A20/B15</f>
        <v>140</v>
      </c>
      <c r="C20" s="55" t="s">
        <v>52</v>
      </c>
      <c r="E20" s="58"/>
      <c r="F20" s="58"/>
      <c r="G20" s="59"/>
      <c r="H20" s="25"/>
      <c r="I20" s="25"/>
      <c r="J20" s="25"/>
      <c r="K20" s="25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53">
        <f>'SARI YERLERI DOLDUR'!E12</f>
        <v>22.98</v>
      </c>
      <c r="B21" s="54">
        <f>A21/B15</f>
        <v>19.49944633</v>
      </c>
      <c r="C21" s="60" t="s">
        <v>53</v>
      </c>
      <c r="D21" s="55"/>
      <c r="E21" s="58"/>
      <c r="F21" s="58"/>
      <c r="G21" s="59"/>
      <c r="H21" s="25"/>
      <c r="I21" s="25"/>
      <c r="J21" s="25"/>
      <c r="K21" s="25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53">
        <f>'SARI YERLERI DOLDUR'!C19</f>
        <v>106.9665932</v>
      </c>
      <c r="B22" s="54">
        <f>A22/B15</f>
        <v>90.76541963</v>
      </c>
      <c r="C22" s="55" t="s">
        <v>54</v>
      </c>
      <c r="E22" s="58"/>
      <c r="F22" s="58"/>
      <c r="G22" s="59"/>
      <c r="H22" s="25"/>
      <c r="I22" s="25"/>
      <c r="J22" s="25"/>
      <c r="K22" s="25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53">
        <f>'SARI YERLERI DOLDUR'!B16</f>
        <v>496.0625864</v>
      </c>
      <c r="B23" s="54">
        <f>A23/B15</f>
        <v>420.928885</v>
      </c>
      <c r="C23" s="55" t="s">
        <v>55</v>
      </c>
      <c r="D23" s="58"/>
      <c r="E23" s="58"/>
      <c r="F23" s="58"/>
      <c r="G23" s="59"/>
      <c r="H23" s="25"/>
      <c r="I23" s="25"/>
      <c r="J23" s="61"/>
      <c r="K23" s="25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53">
        <f>'SARI YERLERI DOLDUR'!B37</f>
        <v>224.0308224</v>
      </c>
      <c r="B24" s="54">
        <f>A24/B15</f>
        <v>190.099086</v>
      </c>
      <c r="C24" s="55" t="s">
        <v>56</v>
      </c>
      <c r="D24" s="58"/>
      <c r="E24" s="58"/>
      <c r="F24" s="58"/>
      <c r="G24" s="59"/>
      <c r="H24" s="25"/>
      <c r="I24" s="25"/>
      <c r="J24" s="61"/>
      <c r="K24" s="25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53">
        <f>'SARI YERLERI DOLDUR'!B22</f>
        <v>688.9162799</v>
      </c>
      <c r="B25" s="54">
        <f>A25/B15</f>
        <v>584.572934</v>
      </c>
      <c r="C25" s="55" t="s">
        <v>57</v>
      </c>
      <c r="E25" s="58"/>
      <c r="F25" s="58"/>
      <c r="G25" s="59"/>
      <c r="H25" s="25"/>
      <c r="I25" s="25"/>
      <c r="J25" s="25"/>
      <c r="K25" s="25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53">
        <f>'SARI YERLERI DOLDUR'!B15</f>
        <v>0</v>
      </c>
      <c r="B26" s="54">
        <f>A26/B15</f>
        <v>0</v>
      </c>
      <c r="C26" s="57" t="s">
        <v>58</v>
      </c>
      <c r="E26" s="58"/>
      <c r="F26" s="58"/>
      <c r="G26" s="59"/>
      <c r="H26" s="25"/>
      <c r="I26" s="25"/>
      <c r="J26" s="25"/>
      <c r="K26" s="25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53">
        <f>'SARI YERLERI DOLDUR'!B28</f>
        <v>46.74096885</v>
      </c>
      <c r="B27" s="54">
        <f>A27/B15</f>
        <v>39.66157586</v>
      </c>
      <c r="C27" s="55" t="s">
        <v>59</v>
      </c>
      <c r="E27" s="58"/>
      <c r="F27" s="58"/>
      <c r="G27" s="59"/>
      <c r="H27" s="25"/>
      <c r="I27" s="25"/>
      <c r="J27" s="25"/>
      <c r="K27" s="25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53">
        <f>'SARI YERLERI DOLDUR'!B29</f>
        <v>580</v>
      </c>
      <c r="B28" s="54">
        <f>A28/B15</f>
        <v>492.1531275</v>
      </c>
      <c r="C28" s="55" t="s">
        <v>60</v>
      </c>
      <c r="F28" s="58"/>
      <c r="G28" s="59"/>
      <c r="H28" s="25"/>
      <c r="I28" s="25"/>
      <c r="J28" s="25"/>
      <c r="K28" s="25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53">
        <f>'SARI YERLERI DOLDUR'!B42</f>
        <v>23.58749932</v>
      </c>
      <c r="B29" s="54">
        <f>A29/B15</f>
        <v>20.01493373</v>
      </c>
      <c r="C29" s="55" t="s">
        <v>61</v>
      </c>
      <c r="F29" s="58"/>
      <c r="G29" s="59"/>
      <c r="H29" s="25"/>
      <c r="I29" s="25"/>
      <c r="J29" s="25"/>
      <c r="K29" s="25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53">
        <f>'SARI YERLERI DOLDUR'!B44</f>
        <v>500</v>
      </c>
      <c r="B30" s="54">
        <f>A30/B15</f>
        <v>424.2699375</v>
      </c>
      <c r="C30" s="55" t="s">
        <v>62</v>
      </c>
      <c r="D30" s="58"/>
      <c r="E30" s="58"/>
      <c r="F30" s="58"/>
      <c r="G30" s="59"/>
      <c r="H30" s="25"/>
      <c r="I30" s="25"/>
      <c r="J30" s="25"/>
      <c r="K30" s="25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53">
        <f>'SARI YERLERI DOLDUR'!B45</f>
        <v>550</v>
      </c>
      <c r="B31" s="54">
        <f>A31/B15</f>
        <v>466.6969313</v>
      </c>
      <c r="C31" s="55" t="s">
        <v>63</v>
      </c>
      <c r="E31" s="58"/>
      <c r="F31" s="58"/>
      <c r="G31" s="59"/>
      <c r="H31" s="25"/>
      <c r="I31" s="25"/>
      <c r="J31" s="25"/>
      <c r="K31" s="25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53">
        <f>'SARI YERLERI DOLDUR'!B46</f>
        <v>500</v>
      </c>
      <c r="B32" s="54">
        <f>A32/B15</f>
        <v>424.2699375</v>
      </c>
      <c r="C32" s="55" t="s">
        <v>64</v>
      </c>
      <c r="E32" s="58"/>
      <c r="F32" s="58"/>
      <c r="G32" s="59"/>
      <c r="H32" s="25"/>
      <c r="I32" s="25"/>
      <c r="J32" s="25"/>
      <c r="K32" s="25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53">
        <f>'SARI YERLERI DOLDUR'!B47</f>
        <v>250</v>
      </c>
      <c r="B33" s="54">
        <f>A33/B15</f>
        <v>212.1349688</v>
      </c>
      <c r="C33" s="55" t="s">
        <v>65</v>
      </c>
      <c r="E33" s="58"/>
      <c r="F33" s="58"/>
      <c r="G33" s="59"/>
      <c r="H33" s="25"/>
      <c r="I33" s="25"/>
      <c r="J33" s="25"/>
      <c r="K33" s="25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53">
        <f>'SARI YERLERI DOLDUR'!B48</f>
        <v>250</v>
      </c>
      <c r="B34" s="54">
        <f>A34/B15</f>
        <v>212.1349688</v>
      </c>
      <c r="C34" s="55" t="s">
        <v>66</v>
      </c>
      <c r="F34" s="58"/>
      <c r="G34" s="59"/>
      <c r="H34" s="61"/>
      <c r="I34" s="25"/>
      <c r="J34" s="25"/>
      <c r="K34" s="25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53">
        <f>'SARI YERLERI DOLDUR'!B50</f>
        <v>530.4995243</v>
      </c>
      <c r="B35" s="54">
        <f>A35/B15</f>
        <v>450.15</v>
      </c>
      <c r="C35" s="55" t="s">
        <v>67</v>
      </c>
      <c r="F35" s="58"/>
      <c r="G35" s="59"/>
      <c r="H35" s="61"/>
      <c r="I35" s="25"/>
      <c r="J35" s="25"/>
      <c r="K35" s="25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53">
        <f>'SARI YERLERI DOLDUR'!B52</f>
        <v>1767.7425</v>
      </c>
      <c r="B36" s="54">
        <f>A36/B15</f>
        <v>1500</v>
      </c>
      <c r="C36" s="62" t="s">
        <v>68</v>
      </c>
      <c r="D36" s="63"/>
      <c r="E36" s="63"/>
      <c r="F36" s="64"/>
      <c r="G36" s="65"/>
      <c r="H36" s="61"/>
      <c r="I36" s="25"/>
      <c r="J36" s="25"/>
      <c r="K36" s="66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67">
        <f t="shared" ref="A37:B37" si="1">SUM(A16:A36)</f>
        <v>9447.816074</v>
      </c>
      <c r="B37" s="68">
        <f t="shared" si="1"/>
        <v>8016.848671</v>
      </c>
      <c r="C37" s="69" t="s">
        <v>69</v>
      </c>
      <c r="D37" s="63"/>
      <c r="E37" s="63"/>
      <c r="F37" s="63"/>
      <c r="G37" s="70"/>
      <c r="H37" s="25"/>
      <c r="I37" s="25"/>
      <c r="J37" s="25"/>
      <c r="K37" s="25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25"/>
      <c r="B38" s="25"/>
      <c r="C38" s="71"/>
      <c r="D38" s="71"/>
      <c r="E38" s="71"/>
      <c r="F38" s="71"/>
      <c r="G38" s="71"/>
      <c r="H38" s="25"/>
      <c r="I38" s="25"/>
      <c r="J38" s="25"/>
      <c r="K38" s="25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72" t="s">
        <v>70</v>
      </c>
      <c r="G39" s="71"/>
      <c r="H39" s="25"/>
      <c r="I39" s="25"/>
      <c r="J39" s="25"/>
      <c r="K39" s="25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72" t="s">
        <v>71</v>
      </c>
      <c r="F40" s="72"/>
      <c r="G40" s="71"/>
      <c r="H40" s="25"/>
      <c r="I40" s="25"/>
      <c r="J40" s="25"/>
      <c r="K40" s="25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73" t="s">
        <v>72</v>
      </c>
      <c r="E41" s="74"/>
      <c r="F41" s="74"/>
      <c r="G41" s="61"/>
      <c r="H41" s="25"/>
      <c r="I41" s="61"/>
      <c r="J41" s="25"/>
      <c r="K41" s="25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75" t="s">
        <v>73</v>
      </c>
      <c r="H42" s="25"/>
      <c r="I42" s="61"/>
      <c r="J42" s="25"/>
      <c r="K42" s="25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76" t="s">
        <v>74</v>
      </c>
      <c r="F43" s="74"/>
      <c r="G43" s="61"/>
      <c r="H43" s="25"/>
      <c r="I43" s="61"/>
      <c r="J43" s="25"/>
      <c r="K43" s="25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77"/>
      <c r="D44" s="74"/>
      <c r="E44" s="74"/>
      <c r="F44" s="74"/>
      <c r="G44" s="61"/>
      <c r="H44" s="25"/>
      <c r="I44" s="25"/>
      <c r="J44" s="25"/>
      <c r="K44" s="25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55" t="s">
        <v>75</v>
      </c>
      <c r="B45" s="25"/>
      <c r="C45" s="25"/>
      <c r="D45" s="25"/>
      <c r="E45" s="25"/>
      <c r="F45" s="75"/>
      <c r="G45" s="75"/>
      <c r="H45" s="25"/>
      <c r="I45" s="25"/>
      <c r="J45" s="25"/>
      <c r="K45" s="25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30" t="s">
        <v>76</v>
      </c>
      <c r="C46" s="78"/>
      <c r="D46" s="78"/>
      <c r="E46" s="78"/>
      <c r="F46" s="74"/>
      <c r="G46" s="61"/>
      <c r="H46" s="25"/>
      <c r="I46" s="25"/>
      <c r="J46" s="25"/>
      <c r="K46" s="25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30" t="s">
        <v>77</v>
      </c>
      <c r="D47" s="78"/>
      <c r="E47" s="78"/>
      <c r="F47" s="25"/>
      <c r="G47" s="25"/>
      <c r="H47" s="25"/>
      <c r="I47" s="25"/>
      <c r="J47" s="25"/>
      <c r="K47" s="25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30" t="s">
        <v>78</v>
      </c>
      <c r="B48" s="30" t="s">
        <v>79</v>
      </c>
      <c r="C48" s="78"/>
      <c r="D48" s="78"/>
      <c r="E48" s="78"/>
      <c r="F48" s="25"/>
      <c r="G48" s="25"/>
      <c r="H48" s="25"/>
      <c r="I48" s="25"/>
      <c r="J48" s="25"/>
      <c r="K48" s="25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30" t="s">
        <v>80</v>
      </c>
      <c r="B49" s="30" t="s">
        <v>81</v>
      </c>
      <c r="E49" s="78"/>
      <c r="F49" s="79"/>
      <c r="G49" s="25"/>
      <c r="H49" s="25"/>
      <c r="I49" s="25"/>
      <c r="J49" s="25"/>
      <c r="K49" s="25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30" t="s">
        <v>82</v>
      </c>
      <c r="B50" s="30" t="s">
        <v>83</v>
      </c>
      <c r="E50" s="78"/>
      <c r="F50" s="25"/>
      <c r="G50" s="25"/>
      <c r="H50" s="25"/>
      <c r="I50" s="25"/>
      <c r="J50" s="25"/>
      <c r="K50" s="25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30" t="s">
        <v>84</v>
      </c>
      <c r="B51" s="30" t="s">
        <v>85</v>
      </c>
      <c r="E51" s="78"/>
      <c r="F51" s="25"/>
      <c r="G51" s="25"/>
      <c r="H51" s="25"/>
      <c r="I51" s="25"/>
      <c r="J51" s="25"/>
      <c r="K51" s="25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30" t="s">
        <v>86</v>
      </c>
      <c r="B52" s="30" t="s">
        <v>87</v>
      </c>
      <c r="F52" s="25"/>
      <c r="G52" s="25"/>
      <c r="H52" s="25"/>
      <c r="I52" s="25"/>
      <c r="J52" s="25"/>
      <c r="K52" s="25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80"/>
      <c r="B53" s="80"/>
      <c r="D53" s="78"/>
      <c r="E53" s="78"/>
      <c r="F53" s="25"/>
      <c r="G53" s="25"/>
      <c r="H53" s="25"/>
      <c r="I53" s="25"/>
      <c r="J53" s="25"/>
      <c r="K53" s="25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80"/>
      <c r="B54" s="80"/>
      <c r="D54" s="78"/>
      <c r="E54" s="78"/>
      <c r="F54" s="25"/>
      <c r="G54" s="25"/>
      <c r="H54" s="25"/>
      <c r="I54" s="25"/>
      <c r="J54" s="25"/>
      <c r="K54" s="25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27.75" customHeight="1">
      <c r="A55" s="81" t="s">
        <v>88</v>
      </c>
      <c r="H55" s="82"/>
      <c r="I55" s="25"/>
      <c r="J55" s="25"/>
      <c r="K55" s="25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24.0" customHeight="1">
      <c r="A56" s="81" t="s">
        <v>89</v>
      </c>
      <c r="H56" s="82"/>
      <c r="I56" s="25"/>
      <c r="J56" s="25"/>
      <c r="K56" s="25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80"/>
      <c r="B57" s="80"/>
      <c r="F57" s="25"/>
      <c r="G57" s="25"/>
      <c r="H57" s="25"/>
      <c r="I57" s="25"/>
      <c r="J57" s="25"/>
      <c r="K57" s="25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78"/>
      <c r="B58" s="78"/>
      <c r="C58" s="78"/>
      <c r="D58" s="78"/>
      <c r="E58" s="78"/>
      <c r="F58" s="25"/>
      <c r="G58" s="25"/>
      <c r="H58" s="25"/>
      <c r="I58" s="25"/>
      <c r="J58" s="25"/>
      <c r="K58" s="25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83"/>
      <c r="B60" s="78"/>
      <c r="C60" s="78"/>
      <c r="D60" s="78"/>
      <c r="E60" s="25"/>
      <c r="F60" s="25"/>
      <c r="G60" s="25"/>
      <c r="H60" s="25"/>
      <c r="I60" s="25"/>
      <c r="J60" s="25"/>
      <c r="K60" s="25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78"/>
      <c r="B61" s="78"/>
      <c r="C61" s="78"/>
      <c r="D61" s="78"/>
      <c r="E61" s="25"/>
      <c r="F61" s="25"/>
      <c r="G61" s="25"/>
      <c r="H61" s="25"/>
      <c r="I61" s="25"/>
      <c r="J61" s="25"/>
      <c r="K61" s="25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78"/>
      <c r="B62" s="78"/>
      <c r="C62" s="78"/>
      <c r="D62" s="78"/>
      <c r="E62" s="25"/>
      <c r="F62" s="25"/>
      <c r="G62" s="25"/>
      <c r="H62" s="25"/>
      <c r="I62" s="25"/>
      <c r="J62" s="25"/>
      <c r="K62" s="25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78"/>
      <c r="B63" s="78"/>
      <c r="C63" s="78"/>
      <c r="D63" s="78"/>
      <c r="E63" s="25"/>
      <c r="F63" s="25"/>
      <c r="G63" s="25"/>
      <c r="H63" s="25"/>
      <c r="I63" s="25"/>
      <c r="J63" s="25"/>
      <c r="K63" s="25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78"/>
      <c r="B64" s="78"/>
      <c r="C64" s="78"/>
      <c r="D64" s="78"/>
      <c r="E64" s="25"/>
      <c r="F64" s="25"/>
      <c r="G64" s="25"/>
      <c r="H64" s="25"/>
      <c r="I64" s="25"/>
      <c r="J64" s="25"/>
      <c r="K64" s="25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78"/>
      <c r="B65" s="78"/>
      <c r="C65" s="78"/>
      <c r="D65" s="78"/>
      <c r="E65" s="25"/>
      <c r="F65" s="25"/>
      <c r="G65" s="25"/>
      <c r="H65" s="25"/>
      <c r="I65" s="25"/>
      <c r="J65" s="25"/>
      <c r="K65" s="25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78"/>
      <c r="B66" s="78"/>
      <c r="C66" s="78"/>
      <c r="D66" s="78"/>
      <c r="E66" s="25"/>
      <c r="F66" s="25"/>
      <c r="G66" s="25"/>
      <c r="H66" s="25"/>
      <c r="I66" s="25"/>
      <c r="J66" s="25"/>
      <c r="K66" s="25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  <row r="100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</row>
    <row r="1002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</row>
    <row r="1003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</row>
  </sheetData>
  <mergeCells count="38">
    <mergeCell ref="A3:B3"/>
    <mergeCell ref="A4:C4"/>
    <mergeCell ref="C15:E15"/>
    <mergeCell ref="C16:G16"/>
    <mergeCell ref="C17:G17"/>
    <mergeCell ref="C18:D18"/>
    <mergeCell ref="C19:G19"/>
    <mergeCell ref="C20:D20"/>
    <mergeCell ref="C22:D22"/>
    <mergeCell ref="C25:D25"/>
    <mergeCell ref="C26:D26"/>
    <mergeCell ref="C27:D27"/>
    <mergeCell ref="C28:E28"/>
    <mergeCell ref="C29:E29"/>
    <mergeCell ref="C31:D31"/>
    <mergeCell ref="C32:D32"/>
    <mergeCell ref="C33:D33"/>
    <mergeCell ref="C34:E34"/>
    <mergeCell ref="C35:E35"/>
    <mergeCell ref="C36:E36"/>
    <mergeCell ref="C37:G37"/>
    <mergeCell ref="A39:F39"/>
    <mergeCell ref="A40:E40"/>
    <mergeCell ref="A41:D41"/>
    <mergeCell ref="A42:G42"/>
    <mergeCell ref="A43:E43"/>
    <mergeCell ref="A44:C44"/>
    <mergeCell ref="A46:B46"/>
    <mergeCell ref="A55:G55"/>
    <mergeCell ref="A56:G56"/>
    <mergeCell ref="B57:E57"/>
    <mergeCell ref="A47:C47"/>
    <mergeCell ref="B49:D49"/>
    <mergeCell ref="B50:D50"/>
    <mergeCell ref="B51:D51"/>
    <mergeCell ref="B52:E52"/>
    <mergeCell ref="B53:C53"/>
    <mergeCell ref="B54:C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5.25"/>
  </cols>
  <sheetData>
    <row r="1" ht="24.0" customHeight="1">
      <c r="A1" s="25"/>
      <c r="B1" s="26" t="str">
        <f>"PROFORMA D/A – INVOICE (Ref: " &amp; 'GİRİŞ'!C20 &amp; " - " &amp; 'GİRİŞ'!C4 &amp; " Call at " &amp; 'GİRİŞ'!C26 &amp; ")"</f>
        <v>PROFORMA D/A – INVOICE (Ref: 2026/1202 - M/T ALSU Call at IZMIR)</v>
      </c>
      <c r="C1" s="27"/>
      <c r="D1" s="27"/>
      <c r="E1" s="27"/>
      <c r="F1" s="28"/>
      <c r="G1" s="25"/>
      <c r="H1" s="25"/>
      <c r="I1" s="25"/>
      <c r="J1" s="25"/>
      <c r="K1" s="25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0"/>
      <c r="C3" s="29"/>
      <c r="D3" s="25"/>
      <c r="E3" s="25"/>
      <c r="F3" s="25"/>
      <c r="G3" s="25"/>
      <c r="H3" s="25"/>
      <c r="I3" s="25"/>
      <c r="J3" s="25"/>
      <c r="K3" s="25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30" t="str">
        <f>"TO: " &amp; 'GİRİŞ'!C22</f>
        <v>TO: CHEMTANKERS SHIPPING SA</v>
      </c>
      <c r="D4" s="25"/>
      <c r="E4" s="25"/>
      <c r="F4" s="29"/>
      <c r="G4" s="25"/>
      <c r="H4" s="25"/>
      <c r="I4" s="25"/>
      <c r="J4" s="25"/>
      <c r="K4" s="25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31" t="str">
        <f>"DATE: " &amp; TEXT('SARI YERLERI DOLDUR'!B1, "dd.mm.yyyy")</f>
        <v>DATE: 24.02.2026</v>
      </c>
      <c r="B5" s="32"/>
      <c r="C5" s="25"/>
      <c r="D5" s="25"/>
      <c r="E5" s="25"/>
      <c r="F5" s="25"/>
      <c r="G5" s="25"/>
      <c r="H5" s="25"/>
      <c r="I5" s="25"/>
      <c r="J5" s="25"/>
      <c r="K5" s="25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30"/>
      <c r="B6" s="32"/>
      <c r="C6" s="25"/>
      <c r="D6" s="25"/>
      <c r="E6" s="25"/>
      <c r="F6" s="29"/>
      <c r="G6" s="25"/>
      <c r="H6" s="25"/>
      <c r="I6" s="25"/>
      <c r="J6" s="25"/>
      <c r="K6" s="25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29"/>
      <c r="B7" s="25"/>
      <c r="C7" s="25"/>
      <c r="D7" s="25"/>
      <c r="E7" s="25"/>
      <c r="F7" s="25"/>
      <c r="G7" s="25"/>
      <c r="H7" s="25"/>
      <c r="I7" s="25"/>
      <c r="J7" s="25"/>
      <c r="K7" s="25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33" t="s">
        <v>35</v>
      </c>
      <c r="B8" s="34"/>
      <c r="C8" s="34"/>
      <c r="D8" s="34"/>
      <c r="E8" s="35" t="s">
        <v>36</v>
      </c>
      <c r="F8" s="36" t="s">
        <v>90</v>
      </c>
      <c r="G8" s="37"/>
      <c r="H8" s="25"/>
      <c r="I8" s="25"/>
      <c r="J8" s="25"/>
      <c r="K8" s="25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38" t="s">
        <v>38</v>
      </c>
      <c r="B9" s="39" t="str">
        <f>'SARI YERLERI DOLDUR'!B7</f>
        <v>M/T ALSU</v>
      </c>
      <c r="C9" s="25"/>
      <c r="D9" s="25"/>
      <c r="E9" s="38" t="s">
        <v>39</v>
      </c>
      <c r="F9" s="40" t="str">
        <f>'SARI YERLERI DOLDUR'!E8</f>
        <v>Discharging</v>
      </c>
      <c r="G9" s="25"/>
      <c r="H9" s="25"/>
      <c r="I9" s="25"/>
      <c r="J9" s="25"/>
      <c r="K9" s="25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38" t="s">
        <v>40</v>
      </c>
      <c r="B10" s="41" t="str">
        <f>'SARI YERLERI DOLDUR'!E2</f>
        <v>TURKIYE</v>
      </c>
      <c r="C10" s="25"/>
      <c r="D10" s="25"/>
      <c r="E10" s="38" t="s">
        <v>41</v>
      </c>
      <c r="F10" s="40" t="str">
        <f>'SARI YERLERI DOLDUR'!E9</f>
        <v>SFS OIL</v>
      </c>
      <c r="G10" s="25"/>
      <c r="H10" s="25"/>
      <c r="I10" s="25"/>
      <c r="J10" s="25"/>
      <c r="K10" s="25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38" t="s">
        <v>42</v>
      </c>
      <c r="B11" s="42">
        <f>'SARI YERLERI DOLDUR'!B8</f>
        <v>1004</v>
      </c>
      <c r="C11" s="25"/>
      <c r="D11" s="25"/>
      <c r="E11" s="38" t="s">
        <v>43</v>
      </c>
      <c r="F11" s="40">
        <f>'SARI YERLERI DOLDUR'!B10</f>
        <v>3001</v>
      </c>
      <c r="G11" s="25"/>
      <c r="H11" s="25"/>
      <c r="I11" s="25"/>
      <c r="J11" s="25"/>
      <c r="K11" s="25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38" t="s">
        <v>44</v>
      </c>
      <c r="B12" s="42">
        <f>'SARI YERLERI DOLDUR'!B9</f>
        <v>2298</v>
      </c>
      <c r="C12" s="25"/>
      <c r="D12" s="25"/>
      <c r="E12" s="38" t="s">
        <v>45</v>
      </c>
      <c r="F12" s="40">
        <f>'SARI YERLERI DOLDUR'!B11</f>
        <v>4</v>
      </c>
      <c r="G12" s="25"/>
      <c r="H12" s="25"/>
      <c r="I12" s="25"/>
      <c r="J12" s="25"/>
      <c r="K12" s="25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43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44" t="s">
        <v>46</v>
      </c>
      <c r="B15" s="45">
        <f>'SARI YERLERI DOLDUR'!B6</f>
        <v>1.178495</v>
      </c>
      <c r="C15" s="46" t="s">
        <v>91</v>
      </c>
      <c r="F15" s="47"/>
      <c r="G15" s="47"/>
      <c r="H15" s="25"/>
      <c r="I15" s="25"/>
      <c r="J15" s="25"/>
      <c r="K15" s="25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48">
        <f>'SARI YERLERI DOLDUR'!B24</f>
        <v>958.386</v>
      </c>
      <c r="B16" s="49">
        <f>A16/B15</f>
        <v>813.2287367</v>
      </c>
      <c r="C16" s="50" t="s">
        <v>48</v>
      </c>
      <c r="D16" s="51"/>
      <c r="E16" s="51"/>
      <c r="F16" s="51"/>
      <c r="G16" s="52"/>
      <c r="H16" s="25"/>
      <c r="I16" s="25"/>
      <c r="J16" s="25"/>
      <c r="K16" s="25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53">
        <f>'SARI YERLERI DOLDUR'!B25</f>
        <v>1369.498</v>
      </c>
      <c r="B17" s="54">
        <f>A17/B15</f>
        <v>1162.073662</v>
      </c>
      <c r="C17" s="55" t="s">
        <v>49</v>
      </c>
      <c r="G17" s="56"/>
      <c r="H17" s="25"/>
      <c r="I17" s="25"/>
      <c r="J17" s="25"/>
      <c r="K17" s="25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53">
        <f>'SARI YERLERI DOLDUR'!B32</f>
        <v>300</v>
      </c>
      <c r="B18" s="54">
        <f>A18/B15</f>
        <v>254.5619625</v>
      </c>
      <c r="C18" s="57" t="s">
        <v>50</v>
      </c>
      <c r="E18" s="58"/>
      <c r="F18" s="58"/>
      <c r="G18" s="59"/>
      <c r="H18" s="25"/>
      <c r="I18" s="25"/>
      <c r="J18" s="25"/>
      <c r="K18" s="25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53">
        <f>'SARI YERLERI DOLDUR'!B26</f>
        <v>117.416</v>
      </c>
      <c r="B19" s="54">
        <f>A19/B15</f>
        <v>99.63215796</v>
      </c>
      <c r="C19" s="55" t="s">
        <v>51</v>
      </c>
      <c r="G19" s="56"/>
      <c r="H19" s="25"/>
      <c r="I19" s="25"/>
      <c r="J19" s="25"/>
      <c r="K19" s="25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53">
        <f>'SARI YERLERI DOLDUR'!B14</f>
        <v>164.9893</v>
      </c>
      <c r="B20" s="54">
        <f>A20/B15</f>
        <v>140</v>
      </c>
      <c r="C20" s="55" t="s">
        <v>52</v>
      </c>
      <c r="E20" s="58"/>
      <c r="F20" s="58"/>
      <c r="G20" s="59"/>
      <c r="H20" s="25"/>
      <c r="I20" s="25"/>
      <c r="J20" s="25"/>
      <c r="K20" s="25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53">
        <f>'SARI YERLERI DOLDUR'!C19</f>
        <v>106.9665932</v>
      </c>
      <c r="B21" s="54">
        <f>A21/B15</f>
        <v>90.76541963</v>
      </c>
      <c r="C21" s="55" t="s">
        <v>54</v>
      </c>
      <c r="E21" s="58"/>
      <c r="F21" s="58"/>
      <c r="G21" s="59"/>
      <c r="H21" s="25"/>
      <c r="I21" s="25"/>
      <c r="J21" s="25"/>
      <c r="K21" s="25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53">
        <f>'SARI YERLERI DOLDUR'!B16</f>
        <v>496.0625864</v>
      </c>
      <c r="B22" s="54">
        <f>A22/B15</f>
        <v>420.928885</v>
      </c>
      <c r="C22" s="55" t="s">
        <v>55</v>
      </c>
      <c r="D22" s="58"/>
      <c r="E22" s="58"/>
      <c r="F22" s="58"/>
      <c r="G22" s="59"/>
      <c r="H22" s="25"/>
      <c r="I22" s="25"/>
      <c r="J22" s="61"/>
      <c r="K22" s="25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53">
        <f>'SARI YERLERI DOLDUR'!B37</f>
        <v>224.0308224</v>
      </c>
      <c r="B23" s="54">
        <f>A23/B15</f>
        <v>190.099086</v>
      </c>
      <c r="C23" s="55" t="s">
        <v>56</v>
      </c>
      <c r="D23" s="58"/>
      <c r="E23" s="58"/>
      <c r="F23" s="58"/>
      <c r="G23" s="59"/>
      <c r="H23" s="25"/>
      <c r="I23" s="25"/>
      <c r="J23" s="61"/>
      <c r="K23" s="25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53">
        <f>'SARI YERLERI DOLDUR'!B22</f>
        <v>688.9162799</v>
      </c>
      <c r="B24" s="54">
        <f>A24/B15</f>
        <v>584.572934</v>
      </c>
      <c r="C24" s="55" t="s">
        <v>57</v>
      </c>
      <c r="E24" s="58"/>
      <c r="F24" s="58"/>
      <c r="G24" s="59"/>
      <c r="H24" s="25"/>
      <c r="I24" s="25"/>
      <c r="J24" s="25"/>
      <c r="K24" s="25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53">
        <f>'SARI YERLERI DOLDUR'!B15</f>
        <v>0</v>
      </c>
      <c r="B25" s="54">
        <f>A25/B15</f>
        <v>0</v>
      </c>
      <c r="C25" s="60" t="str">
        <f>"Anchorage dues for (" &amp; 'SARI YERLERI DOLDUR'!B13 &amp; ")"</f>
        <v>Anchorage dues for ()</v>
      </c>
      <c r="E25" s="58"/>
      <c r="F25" s="58"/>
      <c r="G25" s="59"/>
      <c r="H25" s="25"/>
      <c r="I25" s="25"/>
      <c r="J25" s="25"/>
      <c r="K25" s="25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53">
        <f>'SARI YERLERI DOLDUR'!B28</f>
        <v>46.74096885</v>
      </c>
      <c r="B26" s="54">
        <f>A26/B15</f>
        <v>39.66157586</v>
      </c>
      <c r="C26" s="55" t="s">
        <v>59</v>
      </c>
      <c r="E26" s="58"/>
      <c r="F26" s="58"/>
      <c r="G26" s="59"/>
      <c r="H26" s="25"/>
      <c r="I26" s="25"/>
      <c r="J26" s="25"/>
      <c r="K26" s="25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53">
        <f>'SARI YERLERI DOLDUR'!B29</f>
        <v>580</v>
      </c>
      <c r="B27" s="54">
        <f>A27/B15</f>
        <v>492.1531275</v>
      </c>
      <c r="C27" s="55" t="s">
        <v>60</v>
      </c>
      <c r="F27" s="58"/>
      <c r="G27" s="59"/>
      <c r="H27" s="25"/>
      <c r="I27" s="25"/>
      <c r="J27" s="25"/>
      <c r="K27" s="25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53">
        <f>'SARI YERLERI DOLDUR'!B42</f>
        <v>23.58749932</v>
      </c>
      <c r="B28" s="54">
        <f>A28/B15</f>
        <v>20.01493373</v>
      </c>
      <c r="C28" s="55" t="s">
        <v>61</v>
      </c>
      <c r="F28" s="58"/>
      <c r="G28" s="59"/>
      <c r="H28" s="25"/>
      <c r="I28" s="25"/>
      <c r="J28" s="25"/>
      <c r="K28" s="25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53">
        <f>'SARI YERLERI DOLDUR'!B44</f>
        <v>500</v>
      </c>
      <c r="B29" s="54">
        <f>A29/B15</f>
        <v>424.2699375</v>
      </c>
      <c r="C29" s="55" t="s">
        <v>62</v>
      </c>
      <c r="D29" s="58"/>
      <c r="E29" s="58"/>
      <c r="F29" s="58"/>
      <c r="G29" s="59"/>
      <c r="H29" s="25"/>
      <c r="I29" s="25"/>
      <c r="J29" s="25"/>
      <c r="K29" s="25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53">
        <f>'SARI YERLERI DOLDUR'!B45</f>
        <v>550</v>
      </c>
      <c r="B30" s="54">
        <f>A30/B15</f>
        <v>466.6969313</v>
      </c>
      <c r="C30" s="55" t="s">
        <v>63</v>
      </c>
      <c r="E30" s="58"/>
      <c r="F30" s="58"/>
      <c r="G30" s="59"/>
      <c r="H30" s="25"/>
      <c r="I30" s="25"/>
      <c r="J30" s="25"/>
      <c r="K30" s="25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53">
        <f>'SARI YERLERI DOLDUR'!B46</f>
        <v>500</v>
      </c>
      <c r="B31" s="54">
        <f>A31/B15</f>
        <v>424.2699375</v>
      </c>
      <c r="C31" s="55" t="s">
        <v>64</v>
      </c>
      <c r="E31" s="58"/>
      <c r="F31" s="58"/>
      <c r="G31" s="59"/>
      <c r="H31" s="25"/>
      <c r="I31" s="25"/>
      <c r="J31" s="25"/>
      <c r="K31" s="25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53">
        <f>'SARI YERLERI DOLDUR'!B47</f>
        <v>250</v>
      </c>
      <c r="B32" s="54">
        <f>A32/B15</f>
        <v>212.1349688</v>
      </c>
      <c r="C32" s="55" t="s">
        <v>65</v>
      </c>
      <c r="E32" s="58"/>
      <c r="F32" s="58"/>
      <c r="G32" s="59"/>
      <c r="H32" s="25"/>
      <c r="I32" s="25"/>
      <c r="J32" s="25"/>
      <c r="K32" s="25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53">
        <f>'SARI YERLERI DOLDUR'!B48</f>
        <v>250</v>
      </c>
      <c r="B33" s="54">
        <f>A33/B15</f>
        <v>212.1349688</v>
      </c>
      <c r="C33" s="55" t="s">
        <v>66</v>
      </c>
      <c r="F33" s="58"/>
      <c r="G33" s="59"/>
      <c r="H33" s="61"/>
      <c r="I33" s="25"/>
      <c r="J33" s="25"/>
      <c r="K33" s="25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53">
        <f>'SARI YERLERI DOLDUR'!B50</f>
        <v>530.4995243</v>
      </c>
      <c r="B34" s="54">
        <f>A34/B15</f>
        <v>450.15</v>
      </c>
      <c r="C34" s="55" t="s">
        <v>67</v>
      </c>
      <c r="F34" s="58"/>
      <c r="G34" s="59"/>
      <c r="H34" s="61"/>
      <c r="I34" s="25"/>
      <c r="J34" s="25"/>
      <c r="K34" s="25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53">
        <f>'SARI YERLERI DOLDUR'!B52</f>
        <v>1767.7425</v>
      </c>
      <c r="B35" s="54">
        <f>A35/B15</f>
        <v>1500</v>
      </c>
      <c r="C35" s="62" t="s">
        <v>68</v>
      </c>
      <c r="D35" s="63"/>
      <c r="E35" s="63"/>
      <c r="F35" s="64"/>
      <c r="G35" s="65"/>
      <c r="H35" s="61"/>
      <c r="I35" s="25"/>
      <c r="J35" s="25"/>
      <c r="K35" s="66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67">
        <f t="shared" ref="A36:B36" si="1">SUM(A16:A35)</f>
        <v>9424.836074</v>
      </c>
      <c r="B36" s="68">
        <f t="shared" si="1"/>
        <v>7997.349224</v>
      </c>
      <c r="C36" s="69" t="s">
        <v>69</v>
      </c>
      <c r="D36" s="63"/>
      <c r="E36" s="63"/>
      <c r="F36" s="63"/>
      <c r="G36" s="70"/>
      <c r="H36" s="25"/>
      <c r="I36" s="25"/>
      <c r="J36" s="25"/>
      <c r="K36" s="25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25"/>
      <c r="B37" s="25"/>
      <c r="C37" s="71"/>
      <c r="D37" s="71"/>
      <c r="E37" s="71"/>
      <c r="F37" s="71"/>
      <c r="G37" s="71"/>
      <c r="H37" s="25"/>
      <c r="I37" s="25"/>
      <c r="J37" s="25"/>
      <c r="K37" s="25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72" t="s">
        <v>70</v>
      </c>
      <c r="G38" s="71"/>
      <c r="H38" s="25"/>
      <c r="I38" s="25"/>
      <c r="J38" s="25"/>
      <c r="K38" s="25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72" t="s">
        <v>71</v>
      </c>
      <c r="F39" s="72"/>
      <c r="G39" s="71"/>
      <c r="H39" s="25"/>
      <c r="I39" s="25"/>
      <c r="J39" s="25"/>
      <c r="K39" s="25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73" t="s">
        <v>72</v>
      </c>
      <c r="E40" s="74"/>
      <c r="F40" s="74"/>
      <c r="G40" s="61"/>
      <c r="H40" s="25"/>
      <c r="I40" s="61"/>
      <c r="J40" s="25"/>
      <c r="K40" s="25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75" t="s">
        <v>73</v>
      </c>
      <c r="H41" s="25"/>
      <c r="I41" s="61"/>
      <c r="J41" s="25"/>
      <c r="K41" s="25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76" t="s">
        <v>74</v>
      </c>
      <c r="F42" s="74"/>
      <c r="G42" s="61"/>
      <c r="H42" s="25"/>
      <c r="I42" s="61"/>
      <c r="J42" s="25"/>
      <c r="K42" s="25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77"/>
      <c r="D43" s="74"/>
      <c r="E43" s="74"/>
      <c r="F43" s="74"/>
      <c r="G43" s="61"/>
      <c r="H43" s="25"/>
      <c r="I43" s="25"/>
      <c r="J43" s="25"/>
      <c r="K43" s="25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55" t="s">
        <v>75</v>
      </c>
      <c r="B44" s="25"/>
      <c r="C44" s="25"/>
      <c r="D44" s="25"/>
      <c r="E44" s="25"/>
      <c r="F44" s="75"/>
      <c r="G44" s="75"/>
      <c r="H44" s="25"/>
      <c r="I44" s="25"/>
      <c r="J44" s="25"/>
      <c r="K44" s="25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30" t="s">
        <v>76</v>
      </c>
      <c r="C45" s="78"/>
      <c r="D45" s="78"/>
      <c r="E45" s="78"/>
      <c r="F45" s="74"/>
      <c r="G45" s="61"/>
      <c r="H45" s="25"/>
      <c r="I45" s="25"/>
      <c r="J45" s="25"/>
      <c r="K45" s="25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30" t="s">
        <v>77</v>
      </c>
      <c r="D46" s="78"/>
      <c r="E46" s="78"/>
      <c r="F46" s="25"/>
      <c r="G46" s="25"/>
      <c r="H46" s="25"/>
      <c r="I46" s="25"/>
      <c r="J46" s="25"/>
      <c r="K46" s="25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30" t="s">
        <v>78</v>
      </c>
      <c r="B47" s="30" t="s">
        <v>79</v>
      </c>
      <c r="C47" s="78"/>
      <c r="D47" s="78"/>
      <c r="E47" s="78"/>
      <c r="F47" s="25"/>
      <c r="G47" s="25"/>
      <c r="H47" s="25"/>
      <c r="I47" s="25"/>
      <c r="J47" s="25"/>
      <c r="K47" s="25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30" t="s">
        <v>80</v>
      </c>
      <c r="B48" s="30" t="s">
        <v>81</v>
      </c>
      <c r="E48" s="78"/>
      <c r="F48" s="79"/>
      <c r="G48" s="25"/>
      <c r="H48" s="25"/>
      <c r="I48" s="25"/>
      <c r="J48" s="25"/>
      <c r="K48" s="25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30" t="s">
        <v>82</v>
      </c>
      <c r="B49" s="30" t="s">
        <v>83</v>
      </c>
      <c r="E49" s="78"/>
      <c r="F49" s="25"/>
      <c r="G49" s="25"/>
      <c r="H49" s="25"/>
      <c r="I49" s="25"/>
      <c r="J49" s="25"/>
      <c r="K49" s="25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30" t="s">
        <v>84</v>
      </c>
      <c r="B50" s="30" t="s">
        <v>85</v>
      </c>
      <c r="E50" s="78"/>
      <c r="F50" s="25"/>
      <c r="G50" s="25"/>
      <c r="H50" s="25"/>
      <c r="I50" s="25"/>
      <c r="J50" s="25"/>
      <c r="K50" s="25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30" t="s">
        <v>86</v>
      </c>
      <c r="B51" s="30" t="s">
        <v>87</v>
      </c>
      <c r="F51" s="25"/>
      <c r="G51" s="25"/>
      <c r="H51" s="25"/>
      <c r="I51" s="25"/>
      <c r="J51" s="25"/>
      <c r="K51" s="25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80"/>
      <c r="B52" s="80"/>
      <c r="D52" s="78"/>
      <c r="E52" s="78"/>
      <c r="F52" s="25"/>
      <c r="G52" s="25"/>
      <c r="H52" s="25"/>
      <c r="I52" s="25"/>
      <c r="J52" s="25"/>
      <c r="K52" s="25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80"/>
      <c r="B53" s="80"/>
      <c r="D53" s="78"/>
      <c r="E53" s="78"/>
      <c r="F53" s="25"/>
      <c r="G53" s="25"/>
      <c r="H53" s="25"/>
      <c r="I53" s="25"/>
      <c r="J53" s="25"/>
      <c r="K53" s="25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27.75" customHeight="1">
      <c r="A54" s="81" t="s">
        <v>88</v>
      </c>
      <c r="H54" s="82"/>
      <c r="I54" s="25"/>
      <c r="J54" s="25"/>
      <c r="K54" s="25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ht="24.0" customHeight="1">
      <c r="A55" s="81" t="s">
        <v>89</v>
      </c>
      <c r="H55" s="82"/>
      <c r="I55" s="25"/>
      <c r="J55" s="25"/>
      <c r="K55" s="25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80"/>
      <c r="B56" s="80"/>
      <c r="F56" s="25"/>
      <c r="G56" s="25"/>
      <c r="H56" s="25"/>
      <c r="I56" s="25"/>
      <c r="J56" s="25"/>
      <c r="K56" s="25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78"/>
      <c r="B57" s="78"/>
      <c r="C57" s="78"/>
      <c r="D57" s="78"/>
      <c r="E57" s="78"/>
      <c r="F57" s="25"/>
      <c r="G57" s="25"/>
      <c r="H57" s="25"/>
      <c r="I57" s="25"/>
      <c r="J57" s="25"/>
      <c r="K57" s="25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83"/>
      <c r="B59" s="78"/>
      <c r="C59" s="78"/>
      <c r="D59" s="78"/>
      <c r="E59" s="25"/>
      <c r="F59" s="25"/>
      <c r="G59" s="25"/>
      <c r="H59" s="25"/>
      <c r="I59" s="25"/>
      <c r="J59" s="25"/>
      <c r="K59" s="25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78"/>
      <c r="B60" s="78"/>
      <c r="C60" s="78"/>
      <c r="D60" s="78"/>
      <c r="E60" s="25"/>
      <c r="F60" s="25"/>
      <c r="G60" s="25"/>
      <c r="H60" s="25"/>
      <c r="I60" s="25"/>
      <c r="J60" s="25"/>
      <c r="K60" s="25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78"/>
      <c r="B61" s="78"/>
      <c r="C61" s="78"/>
      <c r="D61" s="78"/>
      <c r="E61" s="25"/>
      <c r="F61" s="25"/>
      <c r="G61" s="25"/>
      <c r="H61" s="25"/>
      <c r="I61" s="25"/>
      <c r="J61" s="25"/>
      <c r="K61" s="25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78"/>
      <c r="B62" s="78"/>
      <c r="C62" s="78"/>
      <c r="D62" s="78"/>
      <c r="E62" s="25"/>
      <c r="F62" s="25"/>
      <c r="G62" s="25"/>
      <c r="H62" s="25"/>
      <c r="I62" s="25"/>
      <c r="J62" s="25"/>
      <c r="K62" s="25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78"/>
      <c r="B63" s="78"/>
      <c r="C63" s="78"/>
      <c r="D63" s="78"/>
      <c r="E63" s="25"/>
      <c r="F63" s="25"/>
      <c r="G63" s="25"/>
      <c r="H63" s="25"/>
      <c r="I63" s="25"/>
      <c r="J63" s="25"/>
      <c r="K63" s="25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78"/>
      <c r="B64" s="78"/>
      <c r="C64" s="78"/>
      <c r="D64" s="78"/>
      <c r="E64" s="25"/>
      <c r="F64" s="25"/>
      <c r="G64" s="25"/>
      <c r="H64" s="25"/>
      <c r="I64" s="25"/>
      <c r="J64" s="25"/>
      <c r="K64" s="25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78"/>
      <c r="B65" s="78"/>
      <c r="C65" s="78"/>
      <c r="D65" s="78"/>
      <c r="E65" s="25"/>
      <c r="F65" s="25"/>
      <c r="G65" s="25"/>
      <c r="H65" s="25"/>
      <c r="I65" s="25"/>
      <c r="J65" s="25"/>
      <c r="K65" s="25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  <row r="100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</row>
    <row r="1002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</row>
  </sheetData>
  <mergeCells count="38">
    <mergeCell ref="A3:B3"/>
    <mergeCell ref="A4:C4"/>
    <mergeCell ref="C15:E15"/>
    <mergeCell ref="C16:G16"/>
    <mergeCell ref="C17:G17"/>
    <mergeCell ref="C18:D18"/>
    <mergeCell ref="C19:G19"/>
    <mergeCell ref="C20:D20"/>
    <mergeCell ref="C21:D21"/>
    <mergeCell ref="C24:D24"/>
    <mergeCell ref="C25:D25"/>
    <mergeCell ref="C26:D26"/>
    <mergeCell ref="C27:E27"/>
    <mergeCell ref="C28:E28"/>
    <mergeCell ref="C30:D30"/>
    <mergeCell ref="C31:D31"/>
    <mergeCell ref="C32:D32"/>
    <mergeCell ref="C33:E33"/>
    <mergeCell ref="C34:E34"/>
    <mergeCell ref="C35:E35"/>
    <mergeCell ref="C36:G36"/>
    <mergeCell ref="A38:F38"/>
    <mergeCell ref="A39:E39"/>
    <mergeCell ref="A40:D40"/>
    <mergeCell ref="A41:G41"/>
    <mergeCell ref="A42:E42"/>
    <mergeCell ref="A43:C43"/>
    <mergeCell ref="A45:B45"/>
    <mergeCell ref="A54:G54"/>
    <mergeCell ref="A55:G55"/>
    <mergeCell ref="B56:E56"/>
    <mergeCell ref="A46:C46"/>
    <mergeCell ref="B48:D48"/>
    <mergeCell ref="B49:D49"/>
    <mergeCell ref="B50:D50"/>
    <mergeCell ref="B51:E51"/>
    <mergeCell ref="B52:C52"/>
    <mergeCell ref="B53:C53"/>
  </mergeCells>
  <printOptions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25"/>
  </cols>
  <sheetData>
    <row r="1" ht="24.0" customHeight="1">
      <c r="A1" s="25"/>
      <c r="B1" s="26" t="str">
        <f>"PROFORMA D/A – INVOICE (Ref: " &amp; 'GİRİŞ'!C20 &amp; " - " &amp; 'GİRİŞ'!C4 &amp; " Call at " &amp; 'GİRİŞ'!C26 &amp; ")"</f>
        <v>PROFORMA D/A – INVOICE (Ref: 2026/1202 - M/T ALSU Call at IZMIR)</v>
      </c>
      <c r="C1" s="27"/>
      <c r="D1" s="27"/>
      <c r="E1" s="27"/>
      <c r="F1" s="28"/>
      <c r="G1" s="25"/>
      <c r="H1" s="25"/>
      <c r="I1" s="25"/>
      <c r="J1" s="25"/>
      <c r="K1" s="25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0"/>
      <c r="C3" s="29"/>
      <c r="D3" s="25"/>
      <c r="E3" s="25"/>
      <c r="F3" s="25"/>
      <c r="G3" s="25"/>
      <c r="H3" s="25"/>
      <c r="I3" s="25"/>
      <c r="J3" s="25"/>
      <c r="K3" s="25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30" t="str">
        <f>"TO: " &amp; 'GİRİŞ'!C22</f>
        <v>TO: CHEMTANKERS SHIPPING SA</v>
      </c>
      <c r="D4" s="25"/>
      <c r="E4" s="25"/>
      <c r="F4" s="29"/>
      <c r="G4" s="25"/>
      <c r="H4" s="25"/>
      <c r="I4" s="25"/>
      <c r="J4" s="25"/>
      <c r="K4" s="25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31" t="str">
        <f>"DATE: " &amp; TEXT('SARI YERLERI DOLDUR'!B1, "dd.mm.yyyy")</f>
        <v>DATE: 24.02.2026</v>
      </c>
      <c r="B5" s="32"/>
      <c r="C5" s="25"/>
      <c r="D5" s="25"/>
      <c r="E5" s="25"/>
      <c r="F5" s="25"/>
      <c r="G5" s="25"/>
      <c r="H5" s="25"/>
      <c r="I5" s="25"/>
      <c r="J5" s="25"/>
      <c r="K5" s="25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30"/>
      <c r="B6" s="32"/>
      <c r="C6" s="25"/>
      <c r="D6" s="25"/>
      <c r="E6" s="25"/>
      <c r="F6" s="29"/>
      <c r="G6" s="25"/>
      <c r="H6" s="25"/>
      <c r="I6" s="25"/>
      <c r="J6" s="25"/>
      <c r="K6" s="25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29"/>
      <c r="B7" s="25"/>
      <c r="C7" s="25"/>
      <c r="D7" s="25"/>
      <c r="E7" s="25"/>
      <c r="F7" s="25"/>
      <c r="G7" s="25"/>
      <c r="H7" s="25"/>
      <c r="I7" s="25"/>
      <c r="J7" s="25"/>
      <c r="K7" s="25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33" t="s">
        <v>35</v>
      </c>
      <c r="B8" s="34"/>
      <c r="C8" s="34"/>
      <c r="D8" s="34"/>
      <c r="E8" s="35" t="s">
        <v>36</v>
      </c>
      <c r="F8" s="36" t="s">
        <v>33</v>
      </c>
      <c r="G8" s="37"/>
      <c r="H8" s="25"/>
      <c r="I8" s="25"/>
      <c r="J8" s="25"/>
      <c r="K8" s="25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38" t="s">
        <v>38</v>
      </c>
      <c r="B9" s="39" t="str">
        <f>'SARI YERLERI DOLDUR'!B7</f>
        <v>M/T ALSU</v>
      </c>
      <c r="C9" s="25"/>
      <c r="D9" s="25"/>
      <c r="E9" s="38" t="s">
        <v>39</v>
      </c>
      <c r="F9" s="40" t="str">
        <f>'SARI YERLERI DOLDUR'!E8</f>
        <v>Discharging</v>
      </c>
      <c r="G9" s="25"/>
      <c r="H9" s="25"/>
      <c r="I9" s="25"/>
      <c r="J9" s="25"/>
      <c r="K9" s="25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38" t="s">
        <v>40</v>
      </c>
      <c r="B10" s="41" t="str">
        <f>'SARI YERLERI DOLDUR'!E2</f>
        <v>TURKIYE</v>
      </c>
      <c r="C10" s="25"/>
      <c r="D10" s="25"/>
      <c r="E10" s="38" t="s">
        <v>41</v>
      </c>
      <c r="F10" s="40" t="str">
        <f>'SARI YERLERI DOLDUR'!E9</f>
        <v>SFS OIL</v>
      </c>
      <c r="G10" s="25"/>
      <c r="H10" s="25"/>
      <c r="I10" s="25"/>
      <c r="J10" s="25"/>
      <c r="K10" s="25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38" t="s">
        <v>42</v>
      </c>
      <c r="B11" s="42">
        <f>'SARI YERLERI DOLDUR'!B8</f>
        <v>1004</v>
      </c>
      <c r="C11" s="25"/>
      <c r="D11" s="25"/>
      <c r="E11" s="38" t="s">
        <v>43</v>
      </c>
      <c r="F11" s="40">
        <f>'SARI YERLERI DOLDUR'!B10</f>
        <v>3001</v>
      </c>
      <c r="G11" s="25"/>
      <c r="H11" s="25"/>
      <c r="I11" s="25"/>
      <c r="J11" s="25"/>
      <c r="K11" s="25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38" t="s">
        <v>44</v>
      </c>
      <c r="B12" s="42">
        <f>'SARI YERLERI DOLDUR'!B9</f>
        <v>2298</v>
      </c>
      <c r="C12" s="25"/>
      <c r="D12" s="25"/>
      <c r="E12" s="38" t="s">
        <v>45</v>
      </c>
      <c r="F12" s="40">
        <f>'SARI YERLERI DOLDUR'!B11</f>
        <v>4</v>
      </c>
      <c r="G12" s="25"/>
      <c r="H12" s="25"/>
      <c r="I12" s="25"/>
      <c r="J12" s="25"/>
      <c r="K12" s="25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43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44" t="s">
        <v>46</v>
      </c>
      <c r="B15" s="45">
        <f>'SARI YERLERI DOLDUR'!B6</f>
        <v>1.178495</v>
      </c>
      <c r="C15" s="46" t="s">
        <v>92</v>
      </c>
      <c r="F15" s="47"/>
      <c r="G15" s="47"/>
      <c r="H15" s="25"/>
      <c r="I15" s="25"/>
      <c r="J15" s="25"/>
      <c r="K15" s="25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48">
        <f>'SARI YERLERI DOLDUR'!B24</f>
        <v>958.386</v>
      </c>
      <c r="B16" s="49">
        <f>A16/B15</f>
        <v>813.2287367</v>
      </c>
      <c r="C16" s="50" t="s">
        <v>48</v>
      </c>
      <c r="D16" s="51"/>
      <c r="E16" s="51"/>
      <c r="F16" s="51"/>
      <c r="G16" s="52"/>
      <c r="H16" s="25"/>
      <c r="I16" s="25"/>
      <c r="J16" s="25"/>
      <c r="K16" s="25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53">
        <f>'SARI YERLERI DOLDUR'!B25</f>
        <v>1369.498</v>
      </c>
      <c r="B17" s="54">
        <f>A17/B15</f>
        <v>1162.073662</v>
      </c>
      <c r="C17" s="55" t="s">
        <v>49</v>
      </c>
      <c r="G17" s="56"/>
      <c r="H17" s="25"/>
      <c r="I17" s="25"/>
      <c r="J17" s="25"/>
      <c r="K17" s="25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53">
        <f>'SARI YERLERI DOLDUR'!B24</f>
        <v>958.386</v>
      </c>
      <c r="B18" s="54">
        <f>A18/B15</f>
        <v>813.2287367</v>
      </c>
      <c r="C18" s="55" t="s">
        <v>93</v>
      </c>
      <c r="F18" s="55"/>
      <c r="G18" s="84"/>
      <c r="H18" s="25"/>
      <c r="I18" s="25"/>
      <c r="J18" s="25"/>
      <c r="K18" s="25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53">
        <f>'SARI YERLERI DOLDUR'!B32</f>
        <v>300</v>
      </c>
      <c r="B19" s="54">
        <f>A19/B15</f>
        <v>254.5619625</v>
      </c>
      <c r="C19" s="57" t="s">
        <v>50</v>
      </c>
      <c r="E19" s="58"/>
      <c r="F19" s="58"/>
      <c r="G19" s="59"/>
      <c r="H19" s="25"/>
      <c r="I19" s="25"/>
      <c r="J19" s="25"/>
      <c r="K19" s="25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53">
        <f>'SARI YERLERI DOLDUR'!B26</f>
        <v>117.416</v>
      </c>
      <c r="B20" s="54">
        <f>A20/B15</f>
        <v>99.63215796</v>
      </c>
      <c r="C20" s="55" t="s">
        <v>51</v>
      </c>
      <c r="G20" s="56"/>
      <c r="H20" s="25"/>
      <c r="I20" s="25"/>
      <c r="J20" s="25"/>
      <c r="K20" s="25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53">
        <f>'SARI YERLERI DOLDUR'!B14</f>
        <v>164.9893</v>
      </c>
      <c r="B21" s="54">
        <f>A21/B15</f>
        <v>140</v>
      </c>
      <c r="C21" s="55" t="s">
        <v>52</v>
      </c>
      <c r="E21" s="58"/>
      <c r="F21" s="58"/>
      <c r="G21" s="59"/>
      <c r="H21" s="25"/>
      <c r="I21" s="25"/>
      <c r="J21" s="25"/>
      <c r="K21" s="25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53">
        <f>'SARI YERLERI DOLDUR'!C19</f>
        <v>106.9665932</v>
      </c>
      <c r="B22" s="54">
        <f>A22/B15</f>
        <v>90.76541963</v>
      </c>
      <c r="C22" s="55" t="s">
        <v>54</v>
      </c>
      <c r="E22" s="58"/>
      <c r="F22" s="58"/>
      <c r="G22" s="59"/>
      <c r="H22" s="25"/>
      <c r="I22" s="25"/>
      <c r="J22" s="25"/>
      <c r="K22" s="25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53">
        <f>'SARI YERLERI DOLDUR'!B16</f>
        <v>496.0625864</v>
      </c>
      <c r="B23" s="54">
        <f>A23/B15</f>
        <v>420.928885</v>
      </c>
      <c r="C23" s="55" t="s">
        <v>55</v>
      </c>
      <c r="D23" s="58"/>
      <c r="E23" s="58"/>
      <c r="F23" s="58"/>
      <c r="G23" s="59"/>
      <c r="H23" s="25"/>
      <c r="I23" s="25"/>
      <c r="J23" s="61"/>
      <c r="K23" s="25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53">
        <f>'SARI YERLERI DOLDUR'!B37</f>
        <v>224.0308224</v>
      </c>
      <c r="B24" s="54">
        <f>A24/B15</f>
        <v>190.099086</v>
      </c>
      <c r="C24" s="55" t="s">
        <v>56</v>
      </c>
      <c r="D24" s="58"/>
      <c r="E24" s="58"/>
      <c r="F24" s="58"/>
      <c r="G24" s="59"/>
      <c r="H24" s="25"/>
      <c r="I24" s="25"/>
      <c r="J24" s="61"/>
      <c r="K24" s="25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53">
        <f>'SARI YERLERI DOLDUR'!B40</f>
        <v>46.2</v>
      </c>
      <c r="B25" s="54">
        <f>A25/B15</f>
        <v>39.20254223</v>
      </c>
      <c r="C25" s="55" t="s">
        <v>94</v>
      </c>
      <c r="D25" s="58"/>
      <c r="E25" s="58"/>
      <c r="F25" s="58"/>
      <c r="G25" s="59"/>
      <c r="H25" s="25"/>
      <c r="I25" s="25"/>
      <c r="J25" s="61"/>
      <c r="K25" s="25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53">
        <f>'SARI YERLERI DOLDUR'!B22</f>
        <v>688.9162799</v>
      </c>
      <c r="B26" s="54">
        <f>A26/B15</f>
        <v>584.572934</v>
      </c>
      <c r="C26" s="55" t="s">
        <v>57</v>
      </c>
      <c r="E26" s="58"/>
      <c r="F26" s="58"/>
      <c r="G26" s="59"/>
      <c r="H26" s="25"/>
      <c r="I26" s="25"/>
      <c r="J26" s="25"/>
      <c r="K26" s="25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53">
        <f>'SARI YERLERI DOLDUR'!B28</f>
        <v>46.74096885</v>
      </c>
      <c r="B27" s="54">
        <f>A27/B15</f>
        <v>39.66157586</v>
      </c>
      <c r="C27" s="55" t="s">
        <v>59</v>
      </c>
      <c r="E27" s="58"/>
      <c r="F27" s="58"/>
      <c r="G27" s="59"/>
      <c r="H27" s="25"/>
      <c r="I27" s="25"/>
      <c r="J27" s="25"/>
      <c r="K27" s="25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53">
        <f>'SARI YERLERI DOLDUR'!B29</f>
        <v>580</v>
      </c>
      <c r="B28" s="54">
        <f>A28/B15</f>
        <v>492.1531275</v>
      </c>
      <c r="C28" s="55" t="s">
        <v>60</v>
      </c>
      <c r="F28" s="58"/>
      <c r="G28" s="59"/>
      <c r="H28" s="25"/>
      <c r="I28" s="25"/>
      <c r="J28" s="25"/>
      <c r="K28" s="25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53">
        <f>'SARI YERLERI DOLDUR'!J3</f>
        <v>225</v>
      </c>
      <c r="B29" s="54">
        <f>A29/B15</f>
        <v>190.9214719</v>
      </c>
      <c r="C29" s="55" t="s">
        <v>62</v>
      </c>
      <c r="D29" s="58"/>
      <c r="E29" s="58"/>
      <c r="F29" s="58"/>
      <c r="G29" s="59"/>
      <c r="H29" s="25"/>
      <c r="I29" s="25"/>
      <c r="J29" s="25"/>
      <c r="K29" s="25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53">
        <f>'SARI YERLERI DOLDUR'!J5</f>
        <v>2400</v>
      </c>
      <c r="B30" s="54">
        <f>A30/B15</f>
        <v>2036.4957</v>
      </c>
      <c r="C30" s="62" t="s">
        <v>68</v>
      </c>
      <c r="D30" s="63"/>
      <c r="E30" s="63"/>
      <c r="F30" s="64"/>
      <c r="G30" s="65"/>
      <c r="H30" s="61"/>
      <c r="I30" s="25"/>
      <c r="J30" s="25"/>
      <c r="K30" s="66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67">
        <f t="shared" ref="A31:B31" si="1">SUM(A16:A30)</f>
        <v>8682.592551</v>
      </c>
      <c r="B31" s="68">
        <f t="shared" si="1"/>
        <v>7367.525998</v>
      </c>
      <c r="C31" s="69" t="s">
        <v>69</v>
      </c>
      <c r="D31" s="63"/>
      <c r="E31" s="63"/>
      <c r="F31" s="63"/>
      <c r="G31" s="70"/>
      <c r="H31" s="25"/>
      <c r="I31" s="25"/>
      <c r="J31" s="25"/>
      <c r="K31" s="25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25"/>
      <c r="B32" s="25"/>
      <c r="C32" s="71"/>
      <c r="D32" s="71"/>
      <c r="E32" s="71"/>
      <c r="F32" s="71"/>
      <c r="G32" s="71"/>
      <c r="H32" s="25"/>
      <c r="I32" s="25"/>
      <c r="J32" s="25"/>
      <c r="K32" s="25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72" t="s">
        <v>70</v>
      </c>
      <c r="G33" s="71"/>
      <c r="H33" s="25"/>
      <c r="I33" s="25"/>
      <c r="J33" s="25"/>
      <c r="K33" s="25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72" t="s">
        <v>71</v>
      </c>
      <c r="F34" s="72"/>
      <c r="G34" s="71"/>
      <c r="H34" s="25"/>
      <c r="I34" s="25"/>
      <c r="J34" s="25"/>
      <c r="K34" s="25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73" t="s">
        <v>72</v>
      </c>
      <c r="E35" s="74"/>
      <c r="F35" s="74"/>
      <c r="G35" s="61"/>
      <c r="H35" s="25"/>
      <c r="I35" s="61"/>
      <c r="J35" s="25"/>
      <c r="K35" s="25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75" t="s">
        <v>73</v>
      </c>
      <c r="H36" s="25"/>
      <c r="I36" s="61"/>
      <c r="J36" s="25"/>
      <c r="K36" s="25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76" t="s">
        <v>74</v>
      </c>
      <c r="F37" s="74"/>
      <c r="G37" s="61"/>
      <c r="H37" s="25"/>
      <c r="I37" s="61"/>
      <c r="J37" s="25"/>
      <c r="K37" s="25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77"/>
      <c r="D38" s="74"/>
      <c r="E38" s="74"/>
      <c r="F38" s="74"/>
      <c r="G38" s="61"/>
      <c r="H38" s="25"/>
      <c r="I38" s="25"/>
      <c r="J38" s="25"/>
      <c r="K38" s="25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55" t="s">
        <v>75</v>
      </c>
      <c r="B39" s="25"/>
      <c r="C39" s="25"/>
      <c r="D39" s="25"/>
      <c r="E39" s="25"/>
      <c r="F39" s="75"/>
      <c r="G39" s="75"/>
      <c r="H39" s="25"/>
      <c r="I39" s="25"/>
      <c r="J39" s="25"/>
      <c r="K39" s="25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30" t="s">
        <v>76</v>
      </c>
      <c r="C40" s="78"/>
      <c r="D40" s="78"/>
      <c r="E40" s="78"/>
      <c r="F40" s="74"/>
      <c r="G40" s="61"/>
      <c r="H40" s="25"/>
      <c r="I40" s="25"/>
      <c r="J40" s="25"/>
      <c r="K40" s="25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30" t="s">
        <v>77</v>
      </c>
      <c r="D41" s="78"/>
      <c r="E41" s="78"/>
      <c r="F41" s="25"/>
      <c r="G41" s="25"/>
      <c r="H41" s="25"/>
      <c r="I41" s="25"/>
      <c r="J41" s="25"/>
      <c r="K41" s="25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30" t="s">
        <v>78</v>
      </c>
      <c r="B42" s="30" t="s">
        <v>79</v>
      </c>
      <c r="C42" s="78"/>
      <c r="D42" s="78"/>
      <c r="E42" s="78"/>
      <c r="F42" s="25"/>
      <c r="G42" s="25"/>
      <c r="H42" s="25"/>
      <c r="I42" s="25"/>
      <c r="J42" s="25"/>
      <c r="K42" s="25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30" t="s">
        <v>80</v>
      </c>
      <c r="B43" s="30" t="s">
        <v>81</v>
      </c>
      <c r="E43" s="78"/>
      <c r="F43" s="79"/>
      <c r="G43" s="25"/>
      <c r="H43" s="25"/>
      <c r="I43" s="25"/>
      <c r="J43" s="25"/>
      <c r="K43" s="25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30" t="s">
        <v>82</v>
      </c>
      <c r="B44" s="30" t="s">
        <v>83</v>
      </c>
      <c r="E44" s="78"/>
      <c r="F44" s="25"/>
      <c r="G44" s="25"/>
      <c r="H44" s="25"/>
      <c r="I44" s="25"/>
      <c r="J44" s="25"/>
      <c r="K44" s="25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30" t="s">
        <v>84</v>
      </c>
      <c r="B45" s="30" t="s">
        <v>85</v>
      </c>
      <c r="E45" s="78"/>
      <c r="F45" s="25"/>
      <c r="G45" s="25"/>
      <c r="H45" s="25"/>
      <c r="I45" s="25"/>
      <c r="J45" s="25"/>
      <c r="K45" s="25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30" t="s">
        <v>86</v>
      </c>
      <c r="B46" s="30" t="s">
        <v>87</v>
      </c>
      <c r="F46" s="25"/>
      <c r="G46" s="25"/>
      <c r="H46" s="25"/>
      <c r="I46" s="25"/>
      <c r="J46" s="25"/>
      <c r="K46" s="25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80"/>
      <c r="B47" s="80"/>
      <c r="D47" s="78"/>
      <c r="E47" s="78"/>
      <c r="F47" s="25"/>
      <c r="G47" s="25"/>
      <c r="H47" s="25"/>
      <c r="I47" s="25"/>
      <c r="J47" s="25"/>
      <c r="K47" s="25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80"/>
      <c r="B48" s="80"/>
      <c r="D48" s="78"/>
      <c r="E48" s="78"/>
      <c r="F48" s="25"/>
      <c r="G48" s="25"/>
      <c r="H48" s="25"/>
      <c r="I48" s="25"/>
      <c r="J48" s="25"/>
      <c r="K48" s="25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ht="27.75" customHeight="1">
      <c r="A49" s="81" t="s">
        <v>88</v>
      </c>
      <c r="H49" s="82"/>
      <c r="I49" s="25"/>
      <c r="J49" s="25"/>
      <c r="K49" s="25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24.0" customHeight="1">
      <c r="A50" s="81" t="s">
        <v>89</v>
      </c>
      <c r="H50" s="82"/>
      <c r="I50" s="25"/>
      <c r="J50" s="25"/>
      <c r="K50" s="25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80"/>
      <c r="B51" s="80"/>
      <c r="F51" s="25"/>
      <c r="G51" s="25"/>
      <c r="H51" s="25"/>
      <c r="I51" s="25"/>
      <c r="J51" s="25"/>
      <c r="K51" s="25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78"/>
      <c r="B52" s="78"/>
      <c r="C52" s="78"/>
      <c r="D52" s="78"/>
      <c r="E52" s="78"/>
      <c r="F52" s="25"/>
      <c r="G52" s="25"/>
      <c r="H52" s="25"/>
      <c r="I52" s="25"/>
      <c r="J52" s="25"/>
      <c r="K52" s="25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83"/>
      <c r="B54" s="78"/>
      <c r="C54" s="78"/>
      <c r="D54" s="78"/>
      <c r="E54" s="25"/>
      <c r="F54" s="25"/>
      <c r="G54" s="25"/>
      <c r="H54" s="25"/>
      <c r="I54" s="25"/>
      <c r="J54" s="25"/>
      <c r="K54" s="25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78"/>
      <c r="B55" s="78"/>
      <c r="C55" s="78"/>
      <c r="D55" s="78"/>
      <c r="E55" s="25"/>
      <c r="F55" s="25"/>
      <c r="G55" s="25"/>
      <c r="H55" s="25"/>
      <c r="I55" s="25"/>
      <c r="J55" s="25"/>
      <c r="K55" s="25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78"/>
      <c r="B56" s="78"/>
      <c r="C56" s="78"/>
      <c r="D56" s="78"/>
      <c r="E56" s="25"/>
      <c r="F56" s="25"/>
      <c r="G56" s="25"/>
      <c r="H56" s="25"/>
      <c r="I56" s="25"/>
      <c r="J56" s="25"/>
      <c r="K56" s="25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78"/>
      <c r="B57" s="78"/>
      <c r="C57" s="78"/>
      <c r="D57" s="78"/>
      <c r="E57" s="25"/>
      <c r="F57" s="25"/>
      <c r="G57" s="25"/>
      <c r="H57" s="25"/>
      <c r="I57" s="25"/>
      <c r="J57" s="25"/>
      <c r="K57" s="25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78"/>
      <c r="B58" s="78"/>
      <c r="C58" s="78"/>
      <c r="D58" s="78"/>
      <c r="E58" s="25"/>
      <c r="F58" s="25"/>
      <c r="G58" s="25"/>
      <c r="H58" s="25"/>
      <c r="I58" s="25"/>
      <c r="J58" s="25"/>
      <c r="K58" s="25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78"/>
      <c r="B59" s="78"/>
      <c r="C59" s="78"/>
      <c r="D59" s="78"/>
      <c r="E59" s="25"/>
      <c r="F59" s="25"/>
      <c r="G59" s="25"/>
      <c r="H59" s="25"/>
      <c r="I59" s="25"/>
      <c r="J59" s="25"/>
      <c r="K59" s="25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78"/>
      <c r="B60" s="78"/>
      <c r="C60" s="78"/>
      <c r="D60" s="78"/>
      <c r="E60" s="25"/>
      <c r="F60" s="25"/>
      <c r="G60" s="25"/>
      <c r="H60" s="25"/>
      <c r="I60" s="25"/>
      <c r="J60" s="25"/>
      <c r="K60" s="25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</sheetData>
  <mergeCells count="32">
    <mergeCell ref="A3:B3"/>
    <mergeCell ref="A4:C4"/>
    <mergeCell ref="C15:E15"/>
    <mergeCell ref="C16:G16"/>
    <mergeCell ref="C17:G17"/>
    <mergeCell ref="C18:E18"/>
    <mergeCell ref="C20:G20"/>
    <mergeCell ref="C19:D19"/>
    <mergeCell ref="C21:D21"/>
    <mergeCell ref="C22:D22"/>
    <mergeCell ref="C26:D26"/>
    <mergeCell ref="C27:D27"/>
    <mergeCell ref="C28:E28"/>
    <mergeCell ref="C30:E30"/>
    <mergeCell ref="C31:G31"/>
    <mergeCell ref="A33:F33"/>
    <mergeCell ref="A34:E34"/>
    <mergeCell ref="A35:D35"/>
    <mergeCell ref="A36:G36"/>
    <mergeCell ref="A37:E37"/>
    <mergeCell ref="A38:C38"/>
    <mergeCell ref="B48:C48"/>
    <mergeCell ref="A49:G49"/>
    <mergeCell ref="A50:G50"/>
    <mergeCell ref="B51:E51"/>
    <mergeCell ref="A40:B40"/>
    <mergeCell ref="A41:C41"/>
    <mergeCell ref="B43:D43"/>
    <mergeCell ref="B44:D44"/>
    <mergeCell ref="B45:D45"/>
    <mergeCell ref="B46:E46"/>
    <mergeCell ref="B47:C4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5.25"/>
  </cols>
  <sheetData>
    <row r="1" ht="24.0" customHeight="1">
      <c r="A1" s="25"/>
      <c r="B1" s="26" t="str">
        <f>"PROFORMA D/A – INVOICE (Ref: " &amp; 'GİRİŞ'!C20 &amp; " - " &amp; 'GİRİŞ'!C4 &amp; " Call at " &amp; 'GİRİŞ'!C26 &amp; ")"</f>
        <v>PROFORMA D/A – INVOICE (Ref: 2026/1202 - M/T ALSU Call at IZMIR)</v>
      </c>
      <c r="C1" s="27"/>
      <c r="D1" s="27"/>
      <c r="E1" s="27"/>
      <c r="F1" s="28"/>
      <c r="G1" s="25"/>
      <c r="H1" s="25"/>
      <c r="I1" s="25"/>
      <c r="J1" s="25"/>
      <c r="K1" s="25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0"/>
      <c r="C3" s="29"/>
      <c r="D3" s="25"/>
      <c r="E3" s="25"/>
      <c r="F3" s="25"/>
      <c r="G3" s="25"/>
      <c r="H3" s="25"/>
      <c r="I3" s="25"/>
      <c r="J3" s="25"/>
      <c r="K3" s="25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30" t="str">
        <f>"TO: " &amp; 'GİRİŞ'!C22</f>
        <v>TO: CHEMTANKERS SHIPPING SA</v>
      </c>
      <c r="D4" s="25"/>
      <c r="E4" s="25"/>
      <c r="F4" s="29"/>
      <c r="G4" s="25"/>
      <c r="H4" s="25"/>
      <c r="I4" s="25"/>
      <c r="J4" s="25"/>
      <c r="K4" s="25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31" t="str">
        <f>"DATE: " &amp; TEXT('SARI YERLERI DOLDUR'!B1, "dd.mm.yyyy")</f>
        <v>DATE: 24.02.2026</v>
      </c>
      <c r="B5" s="32"/>
      <c r="C5" s="25"/>
      <c r="D5" s="25"/>
      <c r="E5" s="25"/>
      <c r="F5" s="25"/>
      <c r="G5" s="25"/>
      <c r="H5" s="25"/>
      <c r="I5" s="25"/>
      <c r="J5" s="25"/>
      <c r="K5" s="25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30"/>
      <c r="B6" s="32"/>
      <c r="C6" s="25"/>
      <c r="D6" s="25"/>
      <c r="E6" s="25"/>
      <c r="F6" s="29"/>
      <c r="G6" s="25"/>
      <c r="H6" s="25"/>
      <c r="I6" s="25"/>
      <c r="J6" s="25"/>
      <c r="K6" s="25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29"/>
      <c r="B7" s="25"/>
      <c r="C7" s="25"/>
      <c r="D7" s="25"/>
      <c r="E7" s="25"/>
      <c r="F7" s="25"/>
      <c r="G7" s="25"/>
      <c r="H7" s="25"/>
      <c r="I7" s="25"/>
      <c r="J7" s="25"/>
      <c r="K7" s="25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33" t="s">
        <v>35</v>
      </c>
      <c r="B8" s="34"/>
      <c r="C8" s="34"/>
      <c r="D8" s="34"/>
      <c r="E8" s="35" t="s">
        <v>36</v>
      </c>
      <c r="F8" s="36" t="s">
        <v>33</v>
      </c>
      <c r="G8" s="37"/>
      <c r="H8" s="25"/>
      <c r="I8" s="25"/>
      <c r="J8" s="25"/>
      <c r="K8" s="25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38" t="s">
        <v>38</v>
      </c>
      <c r="B9" s="39" t="str">
        <f>'SARI YERLERI DOLDUR'!B7</f>
        <v>M/T ALSU</v>
      </c>
      <c r="C9" s="25"/>
      <c r="D9" s="25"/>
      <c r="E9" s="38" t="s">
        <v>39</v>
      </c>
      <c r="F9" s="40" t="str">
        <f>'SARI YERLERI DOLDUR'!E8</f>
        <v>Discharging</v>
      </c>
      <c r="G9" s="25"/>
      <c r="H9" s="25"/>
      <c r="I9" s="25"/>
      <c r="J9" s="25"/>
      <c r="K9" s="25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38" t="s">
        <v>40</v>
      </c>
      <c r="B10" s="41" t="str">
        <f>'SARI YERLERI DOLDUR'!E2</f>
        <v>TURKIYE</v>
      </c>
      <c r="C10" s="25"/>
      <c r="D10" s="25"/>
      <c r="E10" s="38" t="s">
        <v>41</v>
      </c>
      <c r="F10" s="40" t="str">
        <f>'SARI YERLERI DOLDUR'!E9</f>
        <v>SFS OIL</v>
      </c>
      <c r="G10" s="25"/>
      <c r="H10" s="25"/>
      <c r="I10" s="25"/>
      <c r="J10" s="25"/>
      <c r="K10" s="25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38" t="s">
        <v>42</v>
      </c>
      <c r="B11" s="42">
        <f>'SARI YERLERI DOLDUR'!B8</f>
        <v>1004</v>
      </c>
      <c r="C11" s="25"/>
      <c r="D11" s="25"/>
      <c r="E11" s="38" t="s">
        <v>43</v>
      </c>
      <c r="F11" s="40">
        <f>'SARI YERLERI DOLDUR'!B10</f>
        <v>3001</v>
      </c>
      <c r="G11" s="25"/>
      <c r="H11" s="25"/>
      <c r="I11" s="25"/>
      <c r="J11" s="25"/>
      <c r="K11" s="25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38" t="s">
        <v>44</v>
      </c>
      <c r="B12" s="42">
        <f>'SARI YERLERI DOLDUR'!B9</f>
        <v>2298</v>
      </c>
      <c r="C12" s="25"/>
      <c r="D12" s="25"/>
      <c r="E12" s="38" t="s">
        <v>45</v>
      </c>
      <c r="F12" s="40">
        <f>'SARI YERLERI DOLDUR'!B11</f>
        <v>4</v>
      </c>
      <c r="G12" s="25"/>
      <c r="H12" s="25"/>
      <c r="I12" s="25"/>
      <c r="J12" s="25"/>
      <c r="K12" s="25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43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44" t="s">
        <v>46</v>
      </c>
      <c r="B15" s="45">
        <f>'SARI YERLERI DOLDUR'!B6</f>
        <v>1.178495</v>
      </c>
      <c r="C15" s="46" t="s">
        <v>92</v>
      </c>
      <c r="F15" s="47"/>
      <c r="G15" s="47"/>
      <c r="H15" s="25"/>
      <c r="I15" s="25"/>
      <c r="J15" s="25"/>
      <c r="K15" s="25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48">
        <f>'SARI YERLERI DOLDUR'!B24</f>
        <v>958.386</v>
      </c>
      <c r="B16" s="49">
        <f>A16/B15</f>
        <v>813.2287367</v>
      </c>
      <c r="C16" s="50" t="s">
        <v>48</v>
      </c>
      <c r="D16" s="51"/>
      <c r="E16" s="51"/>
      <c r="F16" s="51"/>
      <c r="G16" s="52"/>
      <c r="H16" s="25"/>
      <c r="I16" s="25"/>
      <c r="J16" s="25"/>
      <c r="K16" s="25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53">
        <f>'SARI YERLERI DOLDUR'!B25</f>
        <v>1369.498</v>
      </c>
      <c r="B17" s="54">
        <f>A17/B15</f>
        <v>1162.073662</v>
      </c>
      <c r="C17" s="55" t="s">
        <v>49</v>
      </c>
      <c r="G17" s="56"/>
      <c r="H17" s="25"/>
      <c r="I17" s="25"/>
      <c r="J17" s="25"/>
      <c r="K17" s="25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53">
        <f>'SARI YERLERI DOLDUR'!B32</f>
        <v>300</v>
      </c>
      <c r="B18" s="54">
        <f>A18/B15</f>
        <v>254.5619625</v>
      </c>
      <c r="C18" s="57" t="s">
        <v>50</v>
      </c>
      <c r="E18" s="58"/>
      <c r="F18" s="58"/>
      <c r="G18" s="59"/>
      <c r="H18" s="25"/>
      <c r="I18" s="25"/>
      <c r="J18" s="25"/>
      <c r="K18" s="25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53">
        <f>'SARI YERLERI DOLDUR'!B26</f>
        <v>117.416</v>
      </c>
      <c r="B19" s="54">
        <f>A19/B15</f>
        <v>99.63215796</v>
      </c>
      <c r="C19" s="55" t="s">
        <v>51</v>
      </c>
      <c r="G19" s="56"/>
      <c r="H19" s="25"/>
      <c r="I19" s="25"/>
      <c r="J19" s="25"/>
      <c r="K19" s="25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53">
        <f>'SARI YERLERI DOLDUR'!B14</f>
        <v>164.9893</v>
      </c>
      <c r="B20" s="54">
        <f>A20/B15</f>
        <v>140</v>
      </c>
      <c r="C20" s="55" t="s">
        <v>52</v>
      </c>
      <c r="E20" s="58"/>
      <c r="F20" s="58"/>
      <c r="G20" s="59"/>
      <c r="H20" s="25"/>
      <c r="I20" s="25"/>
      <c r="J20" s="25"/>
      <c r="K20" s="25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53">
        <f>'SARI YERLERI DOLDUR'!C19</f>
        <v>106.9665932</v>
      </c>
      <c r="B21" s="54">
        <f>A21/B15</f>
        <v>90.76541963</v>
      </c>
      <c r="C21" s="55" t="s">
        <v>54</v>
      </c>
      <c r="E21" s="58"/>
      <c r="F21" s="58"/>
      <c r="G21" s="59"/>
      <c r="H21" s="25"/>
      <c r="I21" s="25"/>
      <c r="J21" s="25"/>
      <c r="K21" s="25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53">
        <f>'SARI YERLERI DOLDUR'!B16</f>
        <v>496.0625864</v>
      </c>
      <c r="B22" s="54">
        <f>A22/B15</f>
        <v>420.928885</v>
      </c>
      <c r="C22" s="55" t="s">
        <v>55</v>
      </c>
      <c r="D22" s="58"/>
      <c r="E22" s="58"/>
      <c r="F22" s="58"/>
      <c r="G22" s="59"/>
      <c r="H22" s="25"/>
      <c r="I22" s="25"/>
      <c r="J22" s="61"/>
      <c r="K22" s="25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53">
        <f>'SARI YERLERI DOLDUR'!B37</f>
        <v>224.0308224</v>
      </c>
      <c r="B23" s="54">
        <f>A23/B15</f>
        <v>190.099086</v>
      </c>
      <c r="C23" s="55" t="s">
        <v>56</v>
      </c>
      <c r="D23" s="58"/>
      <c r="E23" s="58"/>
      <c r="F23" s="58"/>
      <c r="G23" s="59"/>
      <c r="H23" s="25"/>
      <c r="I23" s="25"/>
      <c r="J23" s="61"/>
      <c r="K23" s="25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53">
        <f>'SARI YERLERI DOLDUR'!B22</f>
        <v>688.9162799</v>
      </c>
      <c r="B24" s="54">
        <f>A24/B15</f>
        <v>584.572934</v>
      </c>
      <c r="C24" s="55" t="s">
        <v>57</v>
      </c>
      <c r="E24" s="58"/>
      <c r="F24" s="58"/>
      <c r="G24" s="59"/>
      <c r="H24" s="25"/>
      <c r="I24" s="25"/>
      <c r="J24" s="25"/>
      <c r="K24" s="25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53">
        <f>'SARI YERLERI DOLDUR'!B15</f>
        <v>0</v>
      </c>
      <c r="B25" s="54">
        <f>A25/B15</f>
        <v>0</v>
      </c>
      <c r="C25" s="57" t="s">
        <v>95</v>
      </c>
      <c r="E25" s="58"/>
      <c r="F25" s="58"/>
      <c r="G25" s="59"/>
      <c r="H25" s="25"/>
      <c r="I25" s="25"/>
      <c r="J25" s="25"/>
      <c r="K25" s="25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53">
        <f>'SARI YERLERI DOLDUR'!B28</f>
        <v>46.74096885</v>
      </c>
      <c r="B26" s="54">
        <f>A26/B15</f>
        <v>39.66157586</v>
      </c>
      <c r="C26" s="55" t="s">
        <v>59</v>
      </c>
      <c r="E26" s="58"/>
      <c r="F26" s="58"/>
      <c r="G26" s="59"/>
      <c r="H26" s="25"/>
      <c r="I26" s="25"/>
      <c r="J26" s="25"/>
      <c r="K26" s="25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53">
        <f>'SARI YERLERI DOLDUR'!B29</f>
        <v>580</v>
      </c>
      <c r="B27" s="54">
        <f>A27/B15</f>
        <v>492.1531275</v>
      </c>
      <c r="C27" s="55" t="s">
        <v>60</v>
      </c>
      <c r="F27" s="58"/>
      <c r="G27" s="59"/>
      <c r="H27" s="25"/>
      <c r="I27" s="25"/>
      <c r="J27" s="25"/>
      <c r="K27" s="25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53">
        <f>'SARI YERLERI DOLDUR'!B44</f>
        <v>500</v>
      </c>
      <c r="B28" s="54">
        <f>A28/B15</f>
        <v>424.2699375</v>
      </c>
      <c r="C28" s="55" t="s">
        <v>62</v>
      </c>
      <c r="D28" s="58"/>
      <c r="E28" s="58"/>
      <c r="F28" s="58"/>
      <c r="G28" s="59"/>
      <c r="H28" s="25"/>
      <c r="I28" s="25"/>
      <c r="J28" s="25"/>
      <c r="K28" s="25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53">
        <f>'SARI YERLERI DOLDUR'!B45</f>
        <v>550</v>
      </c>
      <c r="B29" s="54">
        <f>A29/B15</f>
        <v>466.6969313</v>
      </c>
      <c r="C29" s="55" t="s">
        <v>63</v>
      </c>
      <c r="E29" s="58"/>
      <c r="F29" s="58"/>
      <c r="G29" s="59"/>
      <c r="H29" s="25"/>
      <c r="I29" s="25"/>
      <c r="J29" s="25"/>
      <c r="K29" s="25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53">
        <f>'SARI YERLERI DOLDUR'!B46</f>
        <v>500</v>
      </c>
      <c r="B30" s="54">
        <f>A30/B15</f>
        <v>424.2699375</v>
      </c>
      <c r="C30" s="55" t="s">
        <v>64</v>
      </c>
      <c r="E30" s="58"/>
      <c r="F30" s="58"/>
      <c r="G30" s="59"/>
      <c r="H30" s="25"/>
      <c r="I30" s="25"/>
      <c r="J30" s="25"/>
      <c r="K30" s="25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53">
        <f>'SARI YERLERI DOLDUR'!B47</f>
        <v>250</v>
      </c>
      <c r="B31" s="54">
        <f>A31/B15</f>
        <v>212.1349688</v>
      </c>
      <c r="C31" s="55" t="s">
        <v>65</v>
      </c>
      <c r="E31" s="58"/>
      <c r="F31" s="58"/>
      <c r="G31" s="59"/>
      <c r="H31" s="25"/>
      <c r="I31" s="25"/>
      <c r="J31" s="25"/>
      <c r="K31" s="25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53">
        <f>'SARI YERLERI DOLDUR'!B48</f>
        <v>250</v>
      </c>
      <c r="B32" s="54">
        <f>A32/B15</f>
        <v>212.1349688</v>
      </c>
      <c r="C32" s="55" t="s">
        <v>66</v>
      </c>
      <c r="F32" s="58"/>
      <c r="G32" s="59"/>
      <c r="H32" s="61"/>
      <c r="I32" s="25"/>
      <c r="J32" s="25"/>
      <c r="K32" s="25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53">
        <f>'SARI YERLERI DOLDUR'!B50</f>
        <v>530.4995243</v>
      </c>
      <c r="B33" s="54">
        <f>A33/B15</f>
        <v>450.15</v>
      </c>
      <c r="C33" s="55" t="s">
        <v>67</v>
      </c>
      <c r="F33" s="58"/>
      <c r="G33" s="59"/>
      <c r="H33" s="61"/>
      <c r="I33" s="25"/>
      <c r="J33" s="25"/>
      <c r="K33" s="25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53">
        <f>'SARI YERLERI DOLDUR'!B52</f>
        <v>1767.7425</v>
      </c>
      <c r="B34" s="54">
        <f>A34/B15</f>
        <v>1500</v>
      </c>
      <c r="C34" s="62" t="s">
        <v>68</v>
      </c>
      <c r="D34" s="63"/>
      <c r="E34" s="63"/>
      <c r="F34" s="64"/>
      <c r="G34" s="65"/>
      <c r="H34" s="61"/>
      <c r="I34" s="25"/>
      <c r="J34" s="25"/>
      <c r="K34" s="66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67">
        <f t="shared" ref="A35:B35" si="1">SUM(A16:A34)</f>
        <v>9401.248575</v>
      </c>
      <c r="B35" s="68">
        <f t="shared" si="1"/>
        <v>7977.334291</v>
      </c>
      <c r="C35" s="69" t="s">
        <v>69</v>
      </c>
      <c r="D35" s="63"/>
      <c r="E35" s="63"/>
      <c r="F35" s="63"/>
      <c r="G35" s="70"/>
      <c r="H35" s="25"/>
      <c r="I35" s="25"/>
      <c r="J35" s="25"/>
      <c r="K35" s="25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25"/>
      <c r="B36" s="25"/>
      <c r="C36" s="71"/>
      <c r="D36" s="71"/>
      <c r="E36" s="71"/>
      <c r="F36" s="71"/>
      <c r="G36" s="71"/>
      <c r="H36" s="25"/>
      <c r="I36" s="25"/>
      <c r="J36" s="25"/>
      <c r="K36" s="25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72" t="s">
        <v>70</v>
      </c>
      <c r="G37" s="71"/>
      <c r="H37" s="25"/>
      <c r="I37" s="25"/>
      <c r="J37" s="25"/>
      <c r="K37" s="25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72" t="s">
        <v>71</v>
      </c>
      <c r="F38" s="72"/>
      <c r="G38" s="71"/>
      <c r="H38" s="25"/>
      <c r="I38" s="25"/>
      <c r="J38" s="25"/>
      <c r="K38" s="25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73" t="s">
        <v>72</v>
      </c>
      <c r="E39" s="74"/>
      <c r="F39" s="74"/>
      <c r="G39" s="61"/>
      <c r="H39" s="25"/>
      <c r="I39" s="61"/>
      <c r="J39" s="25"/>
      <c r="K39" s="25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75" t="s">
        <v>73</v>
      </c>
      <c r="H40" s="25"/>
      <c r="I40" s="61"/>
      <c r="J40" s="25"/>
      <c r="K40" s="25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76" t="s">
        <v>74</v>
      </c>
      <c r="F41" s="74"/>
      <c r="G41" s="61"/>
      <c r="H41" s="25"/>
      <c r="I41" s="61"/>
      <c r="J41" s="25"/>
      <c r="K41" s="25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77"/>
      <c r="D42" s="74"/>
      <c r="E42" s="74"/>
      <c r="F42" s="74"/>
      <c r="G42" s="61"/>
      <c r="H42" s="25"/>
      <c r="I42" s="25"/>
      <c r="J42" s="25"/>
      <c r="K42" s="25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55" t="s">
        <v>75</v>
      </c>
      <c r="B43" s="25"/>
      <c r="C43" s="25"/>
      <c r="D43" s="25"/>
      <c r="E43" s="25"/>
      <c r="F43" s="75"/>
      <c r="G43" s="75"/>
      <c r="H43" s="25"/>
      <c r="I43" s="25"/>
      <c r="J43" s="25"/>
      <c r="K43" s="25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30" t="s">
        <v>76</v>
      </c>
      <c r="C44" s="78"/>
      <c r="D44" s="78"/>
      <c r="E44" s="78"/>
      <c r="F44" s="74"/>
      <c r="G44" s="61"/>
      <c r="H44" s="25"/>
      <c r="I44" s="25"/>
      <c r="J44" s="25"/>
      <c r="K44" s="25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30" t="s">
        <v>77</v>
      </c>
      <c r="D45" s="78"/>
      <c r="E45" s="78"/>
      <c r="F45" s="25"/>
      <c r="G45" s="25"/>
      <c r="H45" s="25"/>
      <c r="I45" s="25"/>
      <c r="J45" s="25"/>
      <c r="K45" s="25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30" t="s">
        <v>78</v>
      </c>
      <c r="B46" s="30" t="s">
        <v>79</v>
      </c>
      <c r="C46" s="78"/>
      <c r="D46" s="78"/>
      <c r="E46" s="78"/>
      <c r="F46" s="25"/>
      <c r="G46" s="25"/>
      <c r="H46" s="25"/>
      <c r="I46" s="25"/>
      <c r="J46" s="25"/>
      <c r="K46" s="25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30" t="s">
        <v>80</v>
      </c>
      <c r="B47" s="30" t="s">
        <v>81</v>
      </c>
      <c r="E47" s="78"/>
      <c r="F47" s="79"/>
      <c r="G47" s="25"/>
      <c r="H47" s="25"/>
      <c r="I47" s="25"/>
      <c r="J47" s="25"/>
      <c r="K47" s="25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30" t="s">
        <v>82</v>
      </c>
      <c r="B48" s="30" t="s">
        <v>83</v>
      </c>
      <c r="E48" s="78"/>
      <c r="F48" s="25"/>
      <c r="G48" s="25"/>
      <c r="H48" s="25"/>
      <c r="I48" s="25"/>
      <c r="J48" s="25"/>
      <c r="K48" s="25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30" t="s">
        <v>84</v>
      </c>
      <c r="B49" s="30" t="s">
        <v>85</v>
      </c>
      <c r="E49" s="78"/>
      <c r="F49" s="25"/>
      <c r="G49" s="25"/>
      <c r="H49" s="25"/>
      <c r="I49" s="25"/>
      <c r="J49" s="25"/>
      <c r="K49" s="25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30" t="s">
        <v>86</v>
      </c>
      <c r="B50" s="30" t="s">
        <v>87</v>
      </c>
      <c r="F50" s="25"/>
      <c r="G50" s="25"/>
      <c r="H50" s="25"/>
      <c r="I50" s="25"/>
      <c r="J50" s="25"/>
      <c r="K50" s="25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80"/>
      <c r="B51" s="80"/>
      <c r="D51" s="78"/>
      <c r="E51" s="78"/>
      <c r="F51" s="25"/>
      <c r="G51" s="25"/>
      <c r="H51" s="25"/>
      <c r="I51" s="25"/>
      <c r="J51" s="25"/>
      <c r="K51" s="25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80"/>
      <c r="B52" s="80"/>
      <c r="D52" s="78"/>
      <c r="E52" s="78"/>
      <c r="F52" s="25"/>
      <c r="G52" s="25"/>
      <c r="H52" s="25"/>
      <c r="I52" s="25"/>
      <c r="J52" s="25"/>
      <c r="K52" s="25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27.75" customHeight="1">
      <c r="A53" s="81" t="s">
        <v>88</v>
      </c>
      <c r="H53" s="82"/>
      <c r="I53" s="25"/>
      <c r="J53" s="25"/>
      <c r="K53" s="25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ht="24.0" customHeight="1">
      <c r="A54" s="81" t="s">
        <v>89</v>
      </c>
      <c r="H54" s="82"/>
      <c r="I54" s="25"/>
      <c r="J54" s="25"/>
      <c r="K54" s="25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80"/>
      <c r="B55" s="80"/>
      <c r="F55" s="25"/>
      <c r="G55" s="25"/>
      <c r="H55" s="25"/>
      <c r="I55" s="25"/>
      <c r="J55" s="25"/>
      <c r="K55" s="25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78"/>
      <c r="B56" s="78"/>
      <c r="C56" s="78"/>
      <c r="D56" s="78"/>
      <c r="E56" s="78"/>
      <c r="F56" s="25"/>
      <c r="G56" s="25"/>
      <c r="H56" s="25"/>
      <c r="I56" s="25"/>
      <c r="J56" s="25"/>
      <c r="K56" s="25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83"/>
      <c r="B58" s="78"/>
      <c r="C58" s="78"/>
      <c r="D58" s="78"/>
      <c r="E58" s="25"/>
      <c r="F58" s="25"/>
      <c r="G58" s="25"/>
      <c r="H58" s="25"/>
      <c r="I58" s="25"/>
      <c r="J58" s="25"/>
      <c r="K58" s="25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78"/>
      <c r="B59" s="78"/>
      <c r="C59" s="78"/>
      <c r="D59" s="78"/>
      <c r="E59" s="25"/>
      <c r="F59" s="25"/>
      <c r="G59" s="25"/>
      <c r="H59" s="25"/>
      <c r="I59" s="25"/>
      <c r="J59" s="25"/>
      <c r="K59" s="25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78"/>
      <c r="B60" s="78"/>
      <c r="C60" s="78"/>
      <c r="D60" s="78"/>
      <c r="E60" s="25"/>
      <c r="F60" s="25"/>
      <c r="G60" s="25"/>
      <c r="H60" s="25"/>
      <c r="I60" s="25"/>
      <c r="J60" s="25"/>
      <c r="K60" s="25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78"/>
      <c r="B61" s="78"/>
      <c r="C61" s="78"/>
      <c r="D61" s="78"/>
      <c r="E61" s="25"/>
      <c r="F61" s="25"/>
      <c r="G61" s="25"/>
      <c r="H61" s="25"/>
      <c r="I61" s="25"/>
      <c r="J61" s="25"/>
      <c r="K61" s="25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78"/>
      <c r="B62" s="78"/>
      <c r="C62" s="78"/>
      <c r="D62" s="78"/>
      <c r="E62" s="25"/>
      <c r="F62" s="25"/>
      <c r="G62" s="25"/>
      <c r="H62" s="25"/>
      <c r="I62" s="25"/>
      <c r="J62" s="25"/>
      <c r="K62" s="25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78"/>
      <c r="B63" s="78"/>
      <c r="C63" s="78"/>
      <c r="D63" s="78"/>
      <c r="E63" s="25"/>
      <c r="F63" s="25"/>
      <c r="G63" s="25"/>
      <c r="H63" s="25"/>
      <c r="I63" s="25"/>
      <c r="J63" s="25"/>
      <c r="K63" s="25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78"/>
      <c r="B64" s="78"/>
      <c r="C64" s="78"/>
      <c r="D64" s="78"/>
      <c r="E64" s="25"/>
      <c r="F64" s="25"/>
      <c r="G64" s="25"/>
      <c r="H64" s="25"/>
      <c r="I64" s="25"/>
      <c r="J64" s="25"/>
      <c r="K64" s="25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  <row r="100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</row>
  </sheetData>
  <mergeCells count="37">
    <mergeCell ref="A3:B3"/>
    <mergeCell ref="A4:C4"/>
    <mergeCell ref="C15:E15"/>
    <mergeCell ref="C16:G16"/>
    <mergeCell ref="C17:G17"/>
    <mergeCell ref="C18:D18"/>
    <mergeCell ref="C19:G19"/>
    <mergeCell ref="C20:D20"/>
    <mergeCell ref="C21:D21"/>
    <mergeCell ref="C24:D24"/>
    <mergeCell ref="C25:D25"/>
    <mergeCell ref="C26:D26"/>
    <mergeCell ref="C27:E27"/>
    <mergeCell ref="C29:D29"/>
    <mergeCell ref="C30:D30"/>
    <mergeCell ref="C31:D31"/>
    <mergeCell ref="C32:E32"/>
    <mergeCell ref="C33:E33"/>
    <mergeCell ref="C34:E34"/>
    <mergeCell ref="C35:G35"/>
    <mergeCell ref="A37:F37"/>
    <mergeCell ref="A38:E38"/>
    <mergeCell ref="A39:D39"/>
    <mergeCell ref="A40:G40"/>
    <mergeCell ref="A41:E41"/>
    <mergeCell ref="A42:C42"/>
    <mergeCell ref="A44:B44"/>
    <mergeCell ref="A45:C45"/>
    <mergeCell ref="A54:G54"/>
    <mergeCell ref="B55:E55"/>
    <mergeCell ref="B47:D47"/>
    <mergeCell ref="B48:D48"/>
    <mergeCell ref="B49:D49"/>
    <mergeCell ref="B50:E50"/>
    <mergeCell ref="B51:C51"/>
    <mergeCell ref="B52:C52"/>
    <mergeCell ref="A53:G53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23.38"/>
    <col customWidth="1" min="5" max="5" width="24.0"/>
    <col customWidth="1" min="6" max="6" width="29.25"/>
    <col customWidth="1" min="13" max="13" width="37.0"/>
    <col customWidth="1" min="18" max="18" width="16.0"/>
    <col customWidth="1" min="19" max="19" width="14.75"/>
    <col customWidth="1" min="20" max="20" width="16.13"/>
  </cols>
  <sheetData>
    <row r="1">
      <c r="A1" s="85" t="s">
        <v>96</v>
      </c>
      <c r="B1" s="86">
        <f>TODAY()</f>
        <v>46077</v>
      </c>
      <c r="C1" s="87"/>
      <c r="D1" s="85" t="s">
        <v>97</v>
      </c>
      <c r="E1" s="88" t="s">
        <v>90</v>
      </c>
      <c r="F1" s="89"/>
      <c r="G1" s="87"/>
      <c r="H1" s="87"/>
      <c r="I1" s="90" t="s">
        <v>98</v>
      </c>
      <c r="J1" s="87"/>
      <c r="K1" s="87"/>
      <c r="L1" s="87"/>
      <c r="M1" s="91" t="s">
        <v>99</v>
      </c>
      <c r="N1" s="91" t="s">
        <v>100</v>
      </c>
      <c r="O1" s="87"/>
      <c r="P1" s="91" t="s">
        <v>101</v>
      </c>
      <c r="Q1" s="91" t="s">
        <v>102</v>
      </c>
      <c r="R1" s="91" t="s">
        <v>103</v>
      </c>
      <c r="S1" s="91" t="s">
        <v>104</v>
      </c>
      <c r="T1" s="91" t="s">
        <v>105</v>
      </c>
      <c r="U1" s="87"/>
      <c r="V1" s="91" t="s">
        <v>106</v>
      </c>
      <c r="W1" s="91" t="s">
        <v>107</v>
      </c>
      <c r="X1" s="91" t="s">
        <v>108</v>
      </c>
      <c r="Y1" s="87"/>
      <c r="Z1" s="91" t="s">
        <v>109</v>
      </c>
      <c r="AA1" s="91" t="s">
        <v>110</v>
      </c>
      <c r="AB1" s="91" t="s">
        <v>111</v>
      </c>
      <c r="AC1" s="91" t="s">
        <v>112</v>
      </c>
    </row>
    <row r="2">
      <c r="A2" s="85" t="s">
        <v>113</v>
      </c>
      <c r="B2" s="87">
        <f>IFERROR(__xludf.DUMMYFUNCTION("GOOGLEFINANCE(""CURRENCY:USDTRY"")"),43.858740000000004)</f>
        <v>43.85874</v>
      </c>
      <c r="C2" s="87"/>
      <c r="D2" s="85" t="s">
        <v>114</v>
      </c>
      <c r="E2" s="88" t="str">
        <f>'GİRİŞ'!C23</f>
        <v>TURKIYE</v>
      </c>
      <c r="F2" s="88"/>
      <c r="G2" s="87"/>
      <c r="H2" s="87"/>
      <c r="I2" s="87"/>
      <c r="J2" s="87"/>
      <c r="K2" s="87"/>
      <c r="L2" s="87"/>
      <c r="M2" s="91">
        <v>0.0</v>
      </c>
      <c r="N2" s="91">
        <v>1283.9</v>
      </c>
      <c r="O2" s="87"/>
      <c r="P2" s="91" t="s">
        <v>115</v>
      </c>
      <c r="Q2" s="91">
        <v>202.27</v>
      </c>
      <c r="R2" s="91">
        <v>83.17</v>
      </c>
      <c r="S2" s="91">
        <v>0.0</v>
      </c>
      <c r="T2" s="91">
        <v>251.0</v>
      </c>
      <c r="U2" s="87"/>
      <c r="V2" s="91">
        <v>0.0</v>
      </c>
      <c r="W2" s="91">
        <v>20100.0</v>
      </c>
      <c r="X2" s="91">
        <v>8615.0</v>
      </c>
      <c r="Y2" s="87"/>
      <c r="Z2" s="91">
        <v>0.0</v>
      </c>
      <c r="AA2" s="91">
        <v>0.0</v>
      </c>
      <c r="AB2" s="91">
        <v>0.0</v>
      </c>
      <c r="AC2" s="91">
        <v>0.0</v>
      </c>
    </row>
    <row r="3">
      <c r="A3" s="85" t="s">
        <v>116</v>
      </c>
      <c r="B3" s="92">
        <f>IFERROR(__xludf.DUMMYFUNCTION("GOOGLEFINANCE(""CURRENCY:EURTRY"")"),51.7259)</f>
        <v>51.7259</v>
      </c>
      <c r="C3" s="87"/>
      <c r="D3" s="87"/>
      <c r="E3" s="87"/>
      <c r="F3" s="87"/>
      <c r="G3" s="87"/>
      <c r="H3" s="87"/>
      <c r="I3" s="93" t="s">
        <v>117</v>
      </c>
      <c r="J3" s="93">
        <v>225.0</v>
      </c>
      <c r="K3" s="87"/>
      <c r="L3" s="87"/>
      <c r="M3" s="91">
        <v>501.0</v>
      </c>
      <c r="N3" s="91">
        <v>3424.0</v>
      </c>
      <c r="O3" s="87"/>
      <c r="P3" s="91" t="s">
        <v>118</v>
      </c>
      <c r="Q3" s="91">
        <v>382.99</v>
      </c>
      <c r="R3" s="91">
        <v>71.87</v>
      </c>
      <c r="S3" s="91">
        <v>501.0</v>
      </c>
      <c r="T3" s="91">
        <v>628.0</v>
      </c>
      <c r="U3" s="87"/>
      <c r="V3" s="91">
        <v>3001.0</v>
      </c>
      <c r="W3" s="91">
        <v>26350.0</v>
      </c>
      <c r="X3" s="91">
        <v>11230.0</v>
      </c>
      <c r="Y3" s="87"/>
      <c r="Z3" s="91">
        <v>300.0</v>
      </c>
      <c r="AA3" s="91">
        <v>92.4</v>
      </c>
      <c r="AB3" s="91">
        <v>23.1</v>
      </c>
      <c r="AC3" s="91">
        <v>8.4</v>
      </c>
    </row>
    <row r="4">
      <c r="A4" s="85"/>
      <c r="B4" s="92"/>
      <c r="C4" s="87"/>
      <c r="D4" s="87"/>
      <c r="E4" s="87"/>
      <c r="F4" s="87"/>
      <c r="G4" s="87"/>
      <c r="H4" s="87"/>
      <c r="I4" s="87"/>
      <c r="J4" s="87"/>
      <c r="K4" s="87"/>
      <c r="L4" s="87"/>
      <c r="M4" s="91">
        <v>2001.0</v>
      </c>
      <c r="N4" s="91">
        <v>6848.1</v>
      </c>
      <c r="O4" s="87"/>
      <c r="P4" s="91"/>
      <c r="Q4" s="91"/>
      <c r="R4" s="91"/>
      <c r="S4" s="91">
        <v>2001.0</v>
      </c>
      <c r="T4" s="94">
        <v>1506.0</v>
      </c>
      <c r="U4" s="87"/>
      <c r="V4" s="91">
        <v>6001.0</v>
      </c>
      <c r="W4" s="91">
        <v>32700.0</v>
      </c>
      <c r="X4" s="91">
        <v>13750.0</v>
      </c>
      <c r="Y4" s="87"/>
      <c r="Z4" s="91">
        <v>2001.0</v>
      </c>
      <c r="AA4" s="91">
        <v>184.8</v>
      </c>
      <c r="AB4" s="91">
        <v>46.2</v>
      </c>
      <c r="AC4" s="91">
        <v>16.8</v>
      </c>
    </row>
    <row r="5">
      <c r="A5" s="85"/>
      <c r="B5" s="92"/>
      <c r="C5" s="87"/>
      <c r="D5" s="85"/>
      <c r="E5" s="87"/>
      <c r="F5" s="87"/>
      <c r="G5" s="87"/>
      <c r="H5" s="87"/>
      <c r="I5" s="93" t="s">
        <v>119</v>
      </c>
      <c r="J5" s="93">
        <v>2400.0</v>
      </c>
      <c r="K5" s="87"/>
      <c r="L5" s="87"/>
      <c r="M5" s="91">
        <v>4001.0</v>
      </c>
      <c r="N5" s="91">
        <v>10272.2</v>
      </c>
      <c r="O5" s="87"/>
      <c r="P5" s="91"/>
      <c r="Q5" s="91"/>
      <c r="R5" s="91"/>
      <c r="S5" s="91">
        <v>4001.0</v>
      </c>
      <c r="T5" s="94">
        <v>2259.0</v>
      </c>
      <c r="U5" s="87"/>
      <c r="V5" s="91">
        <v>9001.0</v>
      </c>
      <c r="W5" s="91">
        <v>38840.0</v>
      </c>
      <c r="X5" s="91">
        <v>16465.0</v>
      </c>
      <c r="Y5" s="87"/>
      <c r="Z5" s="91">
        <v>5001.0</v>
      </c>
      <c r="AA5" s="91">
        <v>346.5</v>
      </c>
      <c r="AB5" s="91">
        <v>86.625</v>
      </c>
      <c r="AC5" s="91">
        <v>31.5</v>
      </c>
    </row>
    <row r="6">
      <c r="A6" s="85" t="s">
        <v>120</v>
      </c>
      <c r="B6" s="92">
        <f>IFERROR(__xludf.DUMMYFUNCTION("GOOGLEFINANCE(""CURRENCY:EURUSD"")"),1.1784949999999998)</f>
        <v>1.178495</v>
      </c>
      <c r="C6" s="87"/>
      <c r="D6" s="85"/>
      <c r="E6" s="87"/>
      <c r="F6" s="87"/>
      <c r="G6" s="87"/>
      <c r="H6" s="87"/>
      <c r="I6" s="87"/>
      <c r="J6" s="87"/>
      <c r="K6" s="87"/>
      <c r="L6" s="87"/>
      <c r="M6" s="91">
        <v>8001.0</v>
      </c>
      <c r="N6" s="91">
        <v>17120.2</v>
      </c>
      <c r="O6" s="87"/>
      <c r="P6" s="91"/>
      <c r="Q6" s="91"/>
      <c r="R6" s="91"/>
      <c r="S6" s="91">
        <v>8001.0</v>
      </c>
      <c r="T6" s="94">
        <v>3012.0</v>
      </c>
      <c r="U6" s="87"/>
      <c r="V6" s="91">
        <v>12001.0</v>
      </c>
      <c r="W6" s="91">
        <v>45305.0</v>
      </c>
      <c r="X6" s="91">
        <v>18505.0</v>
      </c>
      <c r="Y6" s="87"/>
      <c r="Z6" s="91">
        <v>10001.0</v>
      </c>
      <c r="AA6" s="91">
        <v>519.75</v>
      </c>
      <c r="AB6" s="91">
        <v>129.9375</v>
      </c>
      <c r="AC6" s="91">
        <v>47.25</v>
      </c>
    </row>
    <row r="7">
      <c r="A7" s="85" t="s">
        <v>121</v>
      </c>
      <c r="B7" s="88" t="str">
        <f>'GİRİŞ'!C4</f>
        <v>M/T ALSU</v>
      </c>
      <c r="C7" s="87"/>
      <c r="D7" s="87"/>
      <c r="E7" s="87"/>
      <c r="F7" s="87"/>
      <c r="G7" s="87"/>
      <c r="H7" s="87"/>
      <c r="I7" s="87"/>
      <c r="J7" s="87"/>
      <c r="K7" s="87"/>
      <c r="L7" s="87"/>
      <c r="M7" s="91">
        <v>10001.0</v>
      </c>
      <c r="N7" s="91">
        <v>34240.9</v>
      </c>
      <c r="O7" s="87"/>
      <c r="P7" s="91" t="s">
        <v>122</v>
      </c>
      <c r="Q7" s="91">
        <v>22.58</v>
      </c>
      <c r="R7" s="91">
        <v>11.29</v>
      </c>
      <c r="S7" s="91">
        <v>10001.0</v>
      </c>
      <c r="T7" s="94">
        <v>6024.0</v>
      </c>
      <c r="U7" s="87"/>
      <c r="V7" s="91">
        <v>15001.0</v>
      </c>
      <c r="W7" s="91">
        <v>51585.0</v>
      </c>
      <c r="X7" s="91">
        <v>21345.0</v>
      </c>
      <c r="Y7" s="87"/>
      <c r="Z7" s="91">
        <v>20001.0</v>
      </c>
      <c r="AA7" s="91">
        <v>693.0</v>
      </c>
      <c r="AB7" s="91">
        <v>173.25</v>
      </c>
      <c r="AC7" s="91">
        <v>63.0</v>
      </c>
    </row>
    <row r="8">
      <c r="A8" s="85" t="s">
        <v>123</v>
      </c>
      <c r="B8" s="88">
        <f>'GİRİŞ'!C5</f>
        <v>1004</v>
      </c>
      <c r="C8" s="87"/>
      <c r="D8" s="89" t="s">
        <v>124</v>
      </c>
      <c r="E8" s="88" t="str">
        <f>'GİRİŞ'!C24</f>
        <v>Discharging</v>
      </c>
      <c r="F8" s="87"/>
      <c r="G8" s="87"/>
      <c r="H8" s="87"/>
      <c r="I8" s="87"/>
      <c r="J8" s="87"/>
      <c r="K8" s="87"/>
      <c r="L8" s="87"/>
      <c r="M8" s="91">
        <v>30001.0</v>
      </c>
      <c r="N8" s="91">
        <v>51361.4</v>
      </c>
      <c r="O8" s="87"/>
      <c r="P8" s="87"/>
      <c r="Q8" s="87"/>
      <c r="R8" s="87"/>
      <c r="S8" s="91">
        <v>30001.0</v>
      </c>
      <c r="T8" s="94">
        <v>9036.0</v>
      </c>
      <c r="U8" s="87"/>
      <c r="V8" s="91">
        <v>18001.0</v>
      </c>
      <c r="W8" s="91">
        <v>57935.0</v>
      </c>
      <c r="X8" s="91">
        <v>24915.0</v>
      </c>
      <c r="Y8" s="87"/>
      <c r="Z8" s="91">
        <v>50001.0</v>
      </c>
      <c r="AA8" s="91">
        <v>1039.5</v>
      </c>
      <c r="AB8" s="91">
        <v>259.875</v>
      </c>
      <c r="AC8" s="91">
        <v>94.5</v>
      </c>
    </row>
    <row r="9">
      <c r="A9" s="85" t="s">
        <v>125</v>
      </c>
      <c r="B9" s="88">
        <f>'GİRİŞ'!C6</f>
        <v>2298</v>
      </c>
      <c r="C9" s="87"/>
      <c r="D9" s="89" t="s">
        <v>126</v>
      </c>
      <c r="E9" s="88" t="str">
        <f>'GİRİŞ'!C25</f>
        <v>SFS OIL</v>
      </c>
      <c r="F9" s="87"/>
      <c r="G9" s="87"/>
      <c r="H9" s="87"/>
      <c r="I9" s="87"/>
      <c r="J9" s="87"/>
      <c r="K9" s="87"/>
      <c r="L9" s="87"/>
      <c r="M9" s="91">
        <v>50001.0</v>
      </c>
      <c r="N9" s="91">
        <v>85602.3</v>
      </c>
      <c r="O9" s="87"/>
      <c r="P9" s="87"/>
      <c r="Q9" s="87"/>
      <c r="R9" s="87"/>
      <c r="S9" s="91">
        <v>50001.0</v>
      </c>
      <c r="T9" s="94">
        <v>15059.0</v>
      </c>
      <c r="U9" s="87"/>
      <c r="V9" s="91">
        <v>21001.0</v>
      </c>
      <c r="W9" s="91">
        <v>62210.0</v>
      </c>
      <c r="X9" s="91">
        <v>28395.0</v>
      </c>
      <c r="Y9" s="87"/>
      <c r="Z9" s="85" t="s">
        <v>127</v>
      </c>
      <c r="AA9" s="87"/>
      <c r="AB9" s="87"/>
      <c r="AC9" s="87"/>
    </row>
    <row r="10">
      <c r="A10" s="85" t="s">
        <v>128</v>
      </c>
      <c r="B10" s="88">
        <f>'GİRİŞ'!C7</f>
        <v>3001</v>
      </c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91"/>
      <c r="N10" s="91"/>
      <c r="O10" s="87"/>
      <c r="P10" s="87"/>
      <c r="Q10" s="87"/>
      <c r="R10" s="87"/>
      <c r="S10" s="91" t="s">
        <v>129</v>
      </c>
      <c r="T10" s="94"/>
      <c r="U10" s="87"/>
      <c r="V10" s="91">
        <v>25001.0</v>
      </c>
      <c r="W10" s="91">
        <v>68525.0</v>
      </c>
      <c r="X10" s="91">
        <v>35830.0</v>
      </c>
      <c r="Y10" s="87"/>
      <c r="Z10" s="87"/>
      <c r="AA10" s="87"/>
      <c r="AB10" s="87"/>
      <c r="AC10" s="87"/>
    </row>
    <row r="11">
      <c r="A11" s="85" t="s">
        <v>130</v>
      </c>
      <c r="B11" s="88">
        <f>'GİRİŞ'!C8</f>
        <v>4</v>
      </c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91"/>
      <c r="N11" s="91"/>
      <c r="O11" s="87"/>
      <c r="P11" s="87"/>
      <c r="Q11" s="87"/>
      <c r="R11" s="87"/>
      <c r="S11" s="91"/>
      <c r="T11" s="94"/>
      <c r="U11" s="87"/>
      <c r="V11" s="91">
        <v>30001.0</v>
      </c>
      <c r="W11" s="91">
        <v>77205.0</v>
      </c>
      <c r="X11" s="91">
        <v>42335.0</v>
      </c>
      <c r="Y11" s="87"/>
      <c r="Z11" s="87"/>
      <c r="AA11" s="87"/>
      <c r="AB11" s="87"/>
      <c r="AC11" s="87"/>
    </row>
    <row r="12">
      <c r="A12" s="85" t="s">
        <v>131</v>
      </c>
      <c r="B12" s="88" t="str">
        <f>'GİRİŞ'!C10</f>
        <v>EVET </v>
      </c>
      <c r="C12" s="87"/>
      <c r="D12" s="85" t="s">
        <v>132</v>
      </c>
      <c r="E12" s="95">
        <f>(B9 * 0.01) </f>
        <v>22.98</v>
      </c>
      <c r="F12" s="87"/>
      <c r="G12" s="87"/>
      <c r="H12" s="87"/>
      <c r="I12" s="87"/>
      <c r="J12" s="87"/>
      <c r="K12" s="87"/>
      <c r="L12" s="87"/>
      <c r="M12" s="91"/>
      <c r="N12" s="91"/>
      <c r="O12" s="87"/>
      <c r="P12" s="87"/>
      <c r="Q12" s="87"/>
      <c r="R12" s="87"/>
      <c r="S12" s="91"/>
      <c r="T12" s="94"/>
      <c r="U12" s="87"/>
      <c r="V12" s="91">
        <v>35001.0</v>
      </c>
      <c r="W12" s="91">
        <v>106105.0</v>
      </c>
      <c r="X12" s="91">
        <v>46770.0</v>
      </c>
      <c r="Y12" s="87"/>
      <c r="Z12" s="87"/>
      <c r="AA12" s="87"/>
      <c r="AB12" s="87"/>
      <c r="AC12" s="87"/>
    </row>
    <row r="13">
      <c r="A13" s="85" t="s">
        <v>133</v>
      </c>
      <c r="B13" s="85" t="str">
        <f>'GİRİŞ'!C9</f>
        <v/>
      </c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91"/>
      <c r="N13" s="91"/>
      <c r="O13" s="87"/>
      <c r="P13" s="87"/>
      <c r="Q13" s="87"/>
      <c r="R13" s="87"/>
      <c r="S13" s="91"/>
      <c r="T13" s="94"/>
      <c r="U13" s="87"/>
      <c r="V13" s="91"/>
      <c r="W13" s="91"/>
      <c r="X13" s="91"/>
      <c r="Y13" s="87"/>
      <c r="Z13" s="87"/>
      <c r="AA13" s="87"/>
      <c r="AB13" s="87"/>
      <c r="AC13" s="87"/>
    </row>
    <row r="14">
      <c r="A14" s="85" t="s">
        <v>134</v>
      </c>
      <c r="B14" s="87">
        <f t="array" ref="B14">LOOKUP(B9, {0; 1001; 5001; 10001; 15001; 20001; 25001; 35001; 60001}, {80; 140; 210; 250; 300; 350; 400; 540; 720}) * B6</f>
        <v>164.9893</v>
      </c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91"/>
      <c r="N14" s="91"/>
      <c r="O14" s="87"/>
      <c r="P14" s="87"/>
      <c r="Q14" s="87"/>
      <c r="R14" s="87"/>
      <c r="S14" s="91"/>
      <c r="T14" s="94"/>
      <c r="U14" s="87"/>
      <c r="V14" s="91"/>
      <c r="W14" s="91"/>
      <c r="X14" s="91"/>
      <c r="Y14" s="87"/>
      <c r="Z14" s="87"/>
      <c r="AA14" s="87"/>
      <c r="AB14" s="87"/>
      <c r="AC14" s="87"/>
    </row>
    <row r="15">
      <c r="A15" s="85" t="s">
        <v>135</v>
      </c>
      <c r="B15" s="87">
        <f>IF(B13=0, 0, IF(B11&lt;=7, B9*0.004*B11, (B9*0.004*7) + (B9*0.006*(B11-7))))</f>
        <v>0</v>
      </c>
      <c r="C15" s="87"/>
      <c r="D15" s="89"/>
      <c r="E15" s="96"/>
      <c r="F15" s="96"/>
      <c r="G15" s="87"/>
      <c r="H15" s="87"/>
      <c r="I15" s="87"/>
      <c r="J15" s="87"/>
      <c r="K15" s="87"/>
      <c r="L15" s="87"/>
      <c r="M15" s="97"/>
      <c r="N15" s="87"/>
      <c r="O15" s="87"/>
      <c r="P15" s="87"/>
      <c r="Q15" s="87"/>
      <c r="R15" s="87"/>
      <c r="S15" s="87"/>
      <c r="T15" s="87"/>
      <c r="U15" s="87"/>
      <c r="V15" s="91"/>
      <c r="W15" s="91"/>
      <c r="X15" s="91"/>
      <c r="Y15" s="87"/>
      <c r="Z15" s="87"/>
      <c r="AA15" s="87"/>
      <c r="AB15" s="87"/>
      <c r="AC15" s="87"/>
    </row>
    <row r="16">
      <c r="A16" s="85" t="s">
        <v>136</v>
      </c>
      <c r="B16" s="87">
        <f>(B8 * 21.67) / B2</f>
        <v>496.0625864</v>
      </c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97"/>
      <c r="N16" s="87"/>
      <c r="O16" s="87"/>
      <c r="P16" s="87"/>
      <c r="Q16" s="87"/>
      <c r="R16" s="87"/>
      <c r="S16" s="87"/>
      <c r="T16" s="87"/>
      <c r="U16" s="87"/>
      <c r="V16" s="91"/>
      <c r="W16" s="91"/>
      <c r="X16" s="91"/>
      <c r="Y16" s="87"/>
      <c r="Z16" s="87"/>
      <c r="AA16" s="87"/>
      <c r="AB16" s="87"/>
      <c r="AC16" s="87"/>
    </row>
    <row r="17">
      <c r="A17" s="85" t="s">
        <v>137</v>
      </c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91" t="s">
        <v>138</v>
      </c>
      <c r="N17" s="91" t="s">
        <v>139</v>
      </c>
      <c r="O17" s="91" t="s">
        <v>140</v>
      </c>
      <c r="P17" s="87"/>
      <c r="Q17" s="91" t="s">
        <v>141</v>
      </c>
      <c r="R17" s="91" t="s">
        <v>142</v>
      </c>
      <c r="S17" s="87"/>
      <c r="T17" s="85" t="s">
        <v>143</v>
      </c>
      <c r="U17" s="85" t="s">
        <v>144</v>
      </c>
      <c r="V17" s="91"/>
      <c r="W17" s="91"/>
      <c r="X17" s="91"/>
      <c r="Y17" s="87"/>
      <c r="Z17" s="87"/>
      <c r="AA17" s="87"/>
      <c r="AB17" s="87"/>
      <c r="AC17" s="87"/>
    </row>
    <row r="18">
      <c r="A18" s="85" t="s">
        <v>145</v>
      </c>
      <c r="B18" s="87">
        <f t="array" ref="B18">INDEX($N$2:$N$9, MATCH(MIN(ABS($M$2:$M$9 - B8)), ABS($M$2:$M$9 - B8), 0)) / B2</f>
        <v>78.06881821</v>
      </c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91">
        <v>0.0</v>
      </c>
      <c r="N18" s="91">
        <v>670.0</v>
      </c>
      <c r="O18" s="91">
        <v>1400.0</v>
      </c>
      <c r="P18" s="87"/>
      <c r="Q18" s="91">
        <v>0.0</v>
      </c>
      <c r="R18" s="91">
        <v>580.0</v>
      </c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</row>
    <row r="19">
      <c r="A19" s="85" t="s">
        <v>146</v>
      </c>
      <c r="B19" s="87">
        <f t="array" ref="B19">INDEX($T$2:$T$9, MATCH(MIN(ABS($S$2:$S$9 - B8)), ABS($S$2:$S$9 - B8), 0)) / B2</f>
        <v>14.3186968</v>
      </c>
      <c r="C19" s="87">
        <f>SUM(B19, B18,2*B20)</f>
        <v>106.9665932</v>
      </c>
      <c r="D19" s="87"/>
      <c r="E19" s="87"/>
      <c r="F19" s="87"/>
      <c r="G19" s="87"/>
      <c r="H19" s="87"/>
      <c r="I19" s="87"/>
      <c r="J19" s="87"/>
      <c r="K19" s="87"/>
      <c r="L19" s="87"/>
      <c r="M19" s="91">
        <v>501.0</v>
      </c>
      <c r="N19" s="91">
        <v>1120.0</v>
      </c>
      <c r="O19" s="91">
        <v>2800.0</v>
      </c>
      <c r="P19" s="87"/>
      <c r="Q19" s="91">
        <v>20001.0</v>
      </c>
      <c r="R19" s="91">
        <v>870.0</v>
      </c>
      <c r="S19" s="87"/>
      <c r="T19" s="85" t="s">
        <v>147</v>
      </c>
      <c r="U19" s="85">
        <v>202.27</v>
      </c>
      <c r="V19" s="85">
        <v>83.17</v>
      </c>
      <c r="W19" s="87"/>
      <c r="X19" s="87"/>
      <c r="Y19" s="87"/>
      <c r="Z19" s="87"/>
      <c r="AA19" s="87"/>
      <c r="AB19" s="87"/>
      <c r="AC19" s="87"/>
    </row>
    <row r="20">
      <c r="A20" s="85" t="s">
        <v>148</v>
      </c>
      <c r="B20" s="87">
        <f>(B19 / 2) + (5.71 / B2)</f>
        <v>7.289539098</v>
      </c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91">
        <v>1501.0</v>
      </c>
      <c r="N20" s="91">
        <v>2050.0</v>
      </c>
      <c r="O20" s="91">
        <v>4200.0</v>
      </c>
      <c r="P20" s="87"/>
      <c r="Q20" s="91">
        <v>40001.0</v>
      </c>
      <c r="R20" s="91">
        <v>1130.0</v>
      </c>
      <c r="S20" s="87"/>
      <c r="T20" s="85" t="s">
        <v>118</v>
      </c>
      <c r="U20" s="91">
        <v>382.99</v>
      </c>
      <c r="V20" s="91">
        <v>71.87</v>
      </c>
      <c r="W20" s="91"/>
      <c r="X20" s="91"/>
      <c r="Y20" s="87"/>
      <c r="Z20" s="87"/>
      <c r="AA20" s="87"/>
      <c r="AB20" s="87"/>
      <c r="AC20" s="87"/>
    </row>
    <row r="21">
      <c r="A21" s="88" t="s">
        <v>149</v>
      </c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91">
        <v>2501.0</v>
      </c>
      <c r="N21" s="91">
        <v>2800.0</v>
      </c>
      <c r="O21" s="91">
        <v>4900.0</v>
      </c>
      <c r="P21" s="87"/>
      <c r="Q21" s="91">
        <v>60001.0</v>
      </c>
      <c r="R21" s="91">
        <v>1400.0</v>
      </c>
      <c r="S21" s="87"/>
      <c r="T21" s="85" t="s">
        <v>122</v>
      </c>
      <c r="U21" s="91">
        <v>22.58</v>
      </c>
      <c r="V21" s="91">
        <v>11.29</v>
      </c>
      <c r="W21" s="91"/>
      <c r="X21" s="91"/>
      <c r="Y21" s="87"/>
      <c r="Z21" s="87"/>
      <c r="AA21" s="87"/>
      <c r="AB21" s="87"/>
      <c r="AC21" s="87"/>
    </row>
    <row r="22">
      <c r="A22" s="88" t="str">
        <f>'GİRİŞ'!C11</f>
        <v>İTHALAT</v>
      </c>
      <c r="B22" s="87">
        <f>IFERROR(__xludf.DUMMYFUNCTION("IF(ISNUMBER(SEARCH(""TEK"", A22)), 7900 / B2, IF(ISNUMBER(SEARCH(""ALİAĞA"", A22)), 214.1960779, IF(B10="""", 0, VLOOKUP(B10, V:X, IF(TRIM(A22)=""İTHALAT"", 2, 3), TRUE) / B2))) + IF(OR(A22=""İTHALAT"", A22=""İHRACAT""), 3865 / GOOGLEFINANCE(""CURRENCY:US"&amp;"DTRY""), 0)"),688.9162798566489)</f>
        <v>688.9162799</v>
      </c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91">
        <v>5001.0</v>
      </c>
      <c r="N22" s="91">
        <v>3400.0</v>
      </c>
      <c r="O22" s="91">
        <v>5600.0</v>
      </c>
      <c r="P22" s="87"/>
      <c r="Q22" s="91">
        <v>100001.0</v>
      </c>
      <c r="R22" s="91">
        <v>1780.0</v>
      </c>
      <c r="S22" s="87"/>
      <c r="T22" s="87"/>
      <c r="U22" s="91"/>
      <c r="V22" s="91"/>
      <c r="W22" s="91"/>
      <c r="X22" s="91"/>
      <c r="Y22" s="87"/>
      <c r="Z22" s="87"/>
      <c r="AA22" s="87"/>
      <c r="AB22" s="87"/>
      <c r="AC22" s="87"/>
    </row>
    <row r="23">
      <c r="A23" s="85" t="s">
        <v>150</v>
      </c>
      <c r="B23" s="87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91">
        <v>10001.0</v>
      </c>
      <c r="N23" s="91">
        <v>4000.0</v>
      </c>
      <c r="O23" s="91">
        <v>6300.0</v>
      </c>
      <c r="P23" s="87"/>
      <c r="Q23" s="87"/>
      <c r="R23" s="87"/>
      <c r="S23" s="87"/>
      <c r="T23" s="87"/>
      <c r="U23" s="91"/>
      <c r="V23" s="91"/>
      <c r="W23" s="91"/>
      <c r="X23" s="91"/>
      <c r="Y23" s="87"/>
      <c r="Z23" s="87"/>
      <c r="AA23" s="87"/>
      <c r="AB23" s="87"/>
      <c r="AC23" s="87"/>
    </row>
    <row r="24">
      <c r="A24" s="85" t="s">
        <v>151</v>
      </c>
      <c r="B24" s="87">
        <f>2 * IF(B9&lt;=1000, $Q$2, $Q$2 + (ROUNDUP((B9-1000)/1000, 0) * $R$2))* IF(TRIM($B$12)="EVET", 1.3, 1)</f>
        <v>958.386</v>
      </c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91">
        <v>25001.0</v>
      </c>
      <c r="N24" s="91">
        <v>4500.0</v>
      </c>
      <c r="O24" s="91">
        <v>7000.0</v>
      </c>
      <c r="P24" s="87"/>
      <c r="Q24" s="87"/>
      <c r="R24" s="87"/>
      <c r="S24" s="87"/>
      <c r="T24" s="87"/>
      <c r="U24" s="91"/>
      <c r="V24" s="91"/>
      <c r="W24" s="91"/>
      <c r="X24" s="91"/>
      <c r="Y24" s="87"/>
      <c r="Z24" s="87"/>
      <c r="AA24" s="87"/>
      <c r="AB24" s="87"/>
      <c r="AC24" s="87"/>
    </row>
    <row r="25">
      <c r="A25" s="85" t="s">
        <v>152</v>
      </c>
      <c r="B25" s="87">
        <f>IF(B9&gt;5000, 4, 2) * IF(B9&lt;=1000, $Q$3, $Q$3 + (ROUNDUP((B9-1000)/1000, 0) * $R$3))* IF(TRIM($B$12)="EVET", 1.3, 1)</f>
        <v>1369.498</v>
      </c>
      <c r="C25" s="87"/>
      <c r="D25" s="87"/>
      <c r="E25" s="87"/>
      <c r="F25" s="87"/>
      <c r="G25" s="87"/>
      <c r="H25" s="87"/>
      <c r="I25" s="87"/>
      <c r="J25" s="87"/>
      <c r="K25" s="87"/>
      <c r="L25" s="87"/>
      <c r="M25" s="91">
        <v>35001.0</v>
      </c>
      <c r="N25" s="91">
        <v>5000.0</v>
      </c>
      <c r="O25" s="91">
        <v>7500.0</v>
      </c>
      <c r="P25" s="87"/>
      <c r="Q25" s="87"/>
      <c r="R25" s="87"/>
      <c r="S25" s="87"/>
      <c r="T25" s="87"/>
      <c r="U25" s="91"/>
      <c r="V25" s="91"/>
      <c r="W25" s="91"/>
      <c r="X25" s="91"/>
      <c r="Y25" s="87"/>
      <c r="Z25" s="87"/>
      <c r="AA25" s="87"/>
      <c r="AB25" s="87"/>
      <c r="AC25" s="87"/>
    </row>
    <row r="26">
      <c r="A26" s="85" t="s">
        <v>153</v>
      </c>
      <c r="B26" s="87">
        <f>2 * IF(B9&lt;=1000, $Q$7, $Q$7 + (ROUNDUP((B9-1000)/1000,0) * $R$7))* IF(TRIM($B$12)="EVET", 1.3, 1)</f>
        <v>117.416</v>
      </c>
      <c r="C26" s="87"/>
      <c r="D26" s="87"/>
      <c r="E26" s="87"/>
      <c r="F26" s="87"/>
      <c r="G26" s="87"/>
      <c r="H26" s="87"/>
      <c r="I26" s="87"/>
      <c r="J26" s="87"/>
      <c r="K26" s="87"/>
      <c r="L26" s="87"/>
      <c r="M26" s="91">
        <v>50001.0</v>
      </c>
      <c r="N26" s="91">
        <v>5300.0</v>
      </c>
      <c r="O26" s="91">
        <v>8000.0</v>
      </c>
      <c r="P26" s="87"/>
      <c r="Q26" s="87"/>
      <c r="R26" s="87"/>
      <c r="S26" s="87"/>
      <c r="T26" s="87"/>
      <c r="U26" s="91"/>
      <c r="V26" s="91"/>
      <c r="W26" s="91"/>
      <c r="X26" s="91"/>
      <c r="Y26" s="87"/>
      <c r="Z26" s="87"/>
      <c r="AA26" s="87"/>
      <c r="AB26" s="87"/>
      <c r="AC26" s="87"/>
    </row>
    <row r="27">
      <c r="A27" s="87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97"/>
      <c r="N27" s="87"/>
      <c r="O27" s="87"/>
      <c r="P27" s="87"/>
      <c r="Q27" s="87"/>
      <c r="R27" s="87"/>
      <c r="S27" s="87"/>
      <c r="T27" s="87"/>
      <c r="U27" s="91"/>
      <c r="V27" s="91"/>
      <c r="W27" s="91"/>
      <c r="X27" s="91"/>
      <c r="Y27" s="87"/>
      <c r="Z27" s="87"/>
      <c r="AA27" s="87"/>
      <c r="AB27" s="87"/>
      <c r="AC27" s="87"/>
    </row>
    <row r="28">
      <c r="A28" s="88" t="str">
        <f>'GİRİŞ'!C13</f>
        <v>TÜRK / CHAMBER OF SHIPPING FEE</v>
      </c>
      <c r="B28" s="96">
        <f>IF(LEFT(TRIM(A28), 1)="T", VLOOKUP(B9, $M$17:$O$26, 2, TRUE), VLOOKUP(B9, $M$17:$O$26, 3, TRUE)) / B2</f>
        <v>46.74096885</v>
      </c>
      <c r="C28" s="87"/>
      <c r="D28" s="87"/>
      <c r="E28" s="87"/>
      <c r="F28" s="87"/>
      <c r="G28" s="87"/>
      <c r="H28" s="87"/>
      <c r="I28" s="87"/>
      <c r="J28" s="87"/>
      <c r="K28" s="87"/>
      <c r="L28" s="87"/>
      <c r="M28" s="9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</row>
    <row r="29">
      <c r="A29" s="85" t="s">
        <v>154</v>
      </c>
      <c r="B29" s="87">
        <f>IF(B10="", 0, VLOOKUP(B10, $Q$17:$R$22, 2, TRUE))</f>
        <v>580</v>
      </c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9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</row>
    <row r="30">
      <c r="A30" s="87"/>
      <c r="B30" s="87"/>
      <c r="C30" s="87"/>
      <c r="D30" s="87"/>
      <c r="E30" s="87"/>
      <c r="F30" s="87"/>
      <c r="G30" s="87"/>
      <c r="H30" s="87"/>
      <c r="I30" s="87"/>
      <c r="J30" s="87"/>
      <c r="K30" s="87"/>
      <c r="L30" s="87"/>
      <c r="M30" s="98" t="s">
        <v>155</v>
      </c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</row>
    <row r="31">
      <c r="A31" s="85" t="s">
        <v>156</v>
      </c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91" t="s">
        <v>157</v>
      </c>
      <c r="N31" s="91" t="s">
        <v>158</v>
      </c>
      <c r="O31" s="91" t="s">
        <v>159</v>
      </c>
      <c r="P31" s="87"/>
      <c r="Q31" s="87"/>
      <c r="R31" s="91"/>
      <c r="S31" s="91"/>
      <c r="T31" s="91"/>
      <c r="U31" s="91"/>
      <c r="V31" s="87"/>
      <c r="W31" s="87"/>
      <c r="X31" s="87"/>
      <c r="Y31" s="87"/>
      <c r="Z31" s="87"/>
      <c r="AA31" s="87"/>
      <c r="AB31" s="87"/>
      <c r="AC31" s="87"/>
    </row>
    <row r="32">
      <c r="A32" s="88" t="str">
        <f>'GİRİŞ'!C14</f>
        <v>YABANCI</v>
      </c>
      <c r="B32" s="96">
        <f>IF(A32="İZMİR/TCDD", ROUNDUP(B9/1000, 0) * B11 * 10,ROUNDUP(IF(B9&lt;=500, 10, ROUNDUP(B9/1000, 0) * 25) * IF(ISNUMBER(SEARCH("YABANCI", A32)), 1, IF(ISNUMBER(SEARCH("KABOTAJ", A32)), 0.5, 0.75)), 0) * B11)</f>
        <v>300</v>
      </c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91">
        <v>0.0</v>
      </c>
      <c r="N32" s="91">
        <v>600.0</v>
      </c>
      <c r="O32" s="91">
        <v>0.0</v>
      </c>
      <c r="P32" s="87"/>
      <c r="Q32" s="87"/>
      <c r="R32" s="91"/>
      <c r="S32" s="91"/>
      <c r="T32" s="91"/>
      <c r="U32" s="91"/>
      <c r="V32" s="87"/>
      <c r="W32" s="87"/>
      <c r="X32" s="87"/>
      <c r="Y32" s="87"/>
      <c r="Z32" s="87"/>
      <c r="AA32" s="87"/>
      <c r="AB32" s="87"/>
      <c r="AC32" s="87"/>
    </row>
    <row r="33">
      <c r="A33" s="87"/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7"/>
      <c r="M33" s="91">
        <v>501.0</v>
      </c>
      <c r="N33" s="91">
        <v>1000.0</v>
      </c>
      <c r="O33" s="91">
        <v>0.0</v>
      </c>
      <c r="P33" s="87"/>
      <c r="Q33" s="87"/>
      <c r="R33" s="91"/>
      <c r="S33" s="91"/>
      <c r="T33" s="91"/>
      <c r="U33" s="91"/>
      <c r="V33" s="87"/>
      <c r="W33" s="87"/>
      <c r="X33" s="87"/>
      <c r="Y33" s="87"/>
      <c r="Z33" s="87"/>
      <c r="AA33" s="87"/>
      <c r="AB33" s="87"/>
      <c r="AC33" s="87"/>
    </row>
    <row r="34">
      <c r="A34" s="88" t="s">
        <v>34</v>
      </c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91">
        <v>1001.0</v>
      </c>
      <c r="N34" s="91">
        <v>1500.0</v>
      </c>
      <c r="O34" s="91">
        <v>0.0</v>
      </c>
      <c r="P34" s="87"/>
      <c r="Q34" s="87"/>
      <c r="R34" s="91"/>
      <c r="S34" s="91"/>
      <c r="T34" s="91"/>
      <c r="U34" s="91"/>
      <c r="V34" s="87"/>
      <c r="W34" s="87"/>
      <c r="X34" s="87"/>
      <c r="Y34" s="87"/>
      <c r="Z34" s="87"/>
      <c r="AA34" s="87"/>
      <c r="AB34" s="87"/>
      <c r="AC34" s="87"/>
    </row>
    <row r="35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91">
        <v>2001.0</v>
      </c>
      <c r="N35" s="91">
        <v>1850.0</v>
      </c>
      <c r="O35" s="91">
        <v>0.0</v>
      </c>
      <c r="P35" s="87"/>
      <c r="Q35" s="87"/>
      <c r="R35" s="91"/>
      <c r="S35" s="91"/>
      <c r="T35" s="91"/>
      <c r="U35" s="91"/>
      <c r="V35" s="87"/>
      <c r="W35" s="87"/>
      <c r="X35" s="87"/>
      <c r="Y35" s="87"/>
      <c r="Z35" s="87"/>
      <c r="AA35" s="87"/>
      <c r="AB35" s="87"/>
      <c r="AC35" s="87"/>
    </row>
    <row r="36">
      <c r="A36" s="85" t="s">
        <v>160</v>
      </c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91">
        <v>3001.0</v>
      </c>
      <c r="N36" s="91">
        <v>2300.0</v>
      </c>
      <c r="O36" s="91">
        <v>0.0</v>
      </c>
      <c r="P36" s="87"/>
      <c r="Q36" s="87"/>
      <c r="R36" s="91"/>
      <c r="S36" s="91"/>
      <c r="T36" s="91"/>
      <c r="U36" s="91"/>
      <c r="V36" s="87"/>
      <c r="W36" s="87"/>
      <c r="X36" s="87"/>
      <c r="Y36" s="87"/>
      <c r="Z36" s="87"/>
      <c r="AA36" s="87"/>
      <c r="AB36" s="87"/>
      <c r="AC36" s="87"/>
    </row>
    <row r="37">
      <c r="A37" s="88" t="str">
        <f>'GİRİŞ'!C16</f>
        <v>TÜRK</v>
      </c>
      <c r="B37" s="96">
        <f>IF(ISNUMBER(SEARCH("YABANCI", A37)), (MIN(B8,800)*0.22176 + MAX(0,B8-800)*0.11088), IF(ISNUMBER(SEARCH("KABOTAJ", A37)), (MIN(B8,800)*0.03528 + MAX(0,B8-800)*0.01764), (MIN(B8,800)*0.1241856 + MAX(0,B8-800)*0.0620928))) * 2</f>
        <v>224.0308224</v>
      </c>
      <c r="C37" s="87"/>
      <c r="D37" s="87"/>
      <c r="E37" s="87"/>
      <c r="F37" s="87"/>
      <c r="G37" s="87"/>
      <c r="H37" s="87"/>
      <c r="I37" s="87"/>
      <c r="J37" s="87"/>
      <c r="K37" s="87"/>
      <c r="L37" s="87"/>
      <c r="M37" s="91">
        <v>4001.0</v>
      </c>
      <c r="N37" s="91">
        <v>2750.0</v>
      </c>
      <c r="O37" s="91">
        <v>0.0</v>
      </c>
      <c r="P37" s="87"/>
      <c r="Q37" s="87"/>
      <c r="R37" s="91"/>
      <c r="S37" s="91"/>
      <c r="T37" s="91"/>
      <c r="U37" s="91"/>
      <c r="V37" s="87"/>
      <c r="W37" s="87"/>
      <c r="X37" s="87"/>
      <c r="Y37" s="87"/>
      <c r="Z37" s="87"/>
      <c r="AA37" s="87"/>
      <c r="AB37" s="87"/>
      <c r="AC37" s="87"/>
    </row>
    <row r="38">
      <c r="A38" s="87"/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91">
        <v>5001.0</v>
      </c>
      <c r="N38" s="91">
        <v>3200.0</v>
      </c>
      <c r="O38" s="91">
        <v>0.0</v>
      </c>
      <c r="P38" s="87"/>
      <c r="Q38" s="87"/>
      <c r="R38" s="91"/>
      <c r="S38" s="91"/>
      <c r="T38" s="91"/>
      <c r="U38" s="91"/>
      <c r="V38" s="87"/>
      <c r="W38" s="87"/>
      <c r="X38" s="87"/>
      <c r="Y38" s="87"/>
      <c r="Z38" s="87"/>
      <c r="AA38" s="87"/>
      <c r="AB38" s="87"/>
      <c r="AC38" s="87"/>
    </row>
    <row r="39">
      <c r="A39" s="85" t="s">
        <v>161</v>
      </c>
      <c r="B39" s="87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91">
        <v>7501.0</v>
      </c>
      <c r="N39" s="91">
        <v>4000.0</v>
      </c>
      <c r="O39" s="91">
        <v>0.0</v>
      </c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</row>
    <row r="40">
      <c r="A40" s="88" t="str">
        <f>'GİRİŞ'!C18</f>
        <v>TÜRK</v>
      </c>
      <c r="B40" s="96">
        <f>IF(B8&lt;300, 0, VLOOKUP(B8, $Z$1:$AC$8, IF(ISNUMBER(SEARCH("KABOTAJ", A40)), 4, IF(ISNUMBER(SEARCH("YABANCI", A40)), 2, 3)), TRUE)) * 2</f>
        <v>46.2</v>
      </c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91">
        <v>10001.0</v>
      </c>
      <c r="N40" s="91">
        <v>4000.0</v>
      </c>
      <c r="O40" s="91">
        <v>75.0</v>
      </c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</row>
    <row r="41">
      <c r="A41" s="87"/>
      <c r="B41" s="87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91">
        <v>20001.0</v>
      </c>
      <c r="N41" s="91">
        <v>4750.0</v>
      </c>
      <c r="O41" s="91">
        <v>65.0</v>
      </c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</row>
    <row r="42">
      <c r="A42" s="85" t="s">
        <v>162</v>
      </c>
      <c r="B42" s="87">
        <f>IF(B9&lt;=5000, 20, 40) * B3 / B2</f>
        <v>23.58749932</v>
      </c>
      <c r="C42" s="87"/>
      <c r="D42" s="87"/>
      <c r="E42" s="87"/>
      <c r="F42" s="87"/>
      <c r="G42" s="87"/>
      <c r="H42" s="87"/>
      <c r="I42" s="87"/>
      <c r="J42" s="87"/>
      <c r="K42" s="87"/>
      <c r="L42" s="87"/>
      <c r="M42" s="91">
        <v>30001.0</v>
      </c>
      <c r="N42" s="91">
        <v>5400.0</v>
      </c>
      <c r="O42" s="91">
        <v>55.0</v>
      </c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</row>
    <row r="43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91">
        <v>40001.0</v>
      </c>
      <c r="N43" s="91">
        <v>5950.0</v>
      </c>
      <c r="O43" s="91">
        <v>40.0</v>
      </c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</row>
    <row r="44">
      <c r="A44" s="88" t="s">
        <v>117</v>
      </c>
      <c r="B44" s="88">
        <v>500.0</v>
      </c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91">
        <v>50001.0</v>
      </c>
      <c r="N44" s="91">
        <v>6350.0</v>
      </c>
      <c r="O44" s="91">
        <v>25.0</v>
      </c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</row>
    <row r="45">
      <c r="A45" s="99" t="s">
        <v>63</v>
      </c>
      <c r="B45" s="88">
        <v>550.0</v>
      </c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9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</row>
    <row r="46">
      <c r="A46" s="99" t="s">
        <v>64</v>
      </c>
      <c r="B46" s="88">
        <v>500.0</v>
      </c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9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</row>
    <row r="47">
      <c r="A47" s="99" t="s">
        <v>65</v>
      </c>
      <c r="B47" s="88">
        <v>250.0</v>
      </c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98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</row>
    <row r="48">
      <c r="A48" s="99" t="s">
        <v>66</v>
      </c>
      <c r="B48" s="88">
        <v>250.0</v>
      </c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9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</row>
    <row r="49">
      <c r="A49" s="100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9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</row>
    <row r="50">
      <c r="A50" s="100" t="s">
        <v>163</v>
      </c>
      <c r="B50" s="87">
        <f>B10 * 0.15 * B6</f>
        <v>530.4995243</v>
      </c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9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</row>
    <row r="51">
      <c r="A51" s="101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9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</row>
    <row r="52">
      <c r="A52" s="100" t="s">
        <v>164</v>
      </c>
      <c r="B52" s="87">
        <f>(VLOOKUP(B8, $M$31:$O$44, 2, TRUE) + ROUNDUP(MAX(0, B8 - VLOOKUP(B8, $M$31:$O$44, 1, TRUE))/1000, 0) * VLOOKUP(B8, $M$31:$O$44, 3, TRUE)) * B6</f>
        <v>1767.7425</v>
      </c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9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</row>
    <row r="53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9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</row>
    <row r="54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9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</row>
    <row r="5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9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</row>
    <row r="56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9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</row>
    <row r="57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9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</row>
    <row r="58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9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</row>
    <row r="59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9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</row>
    <row r="60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9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</row>
    <row r="61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9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</row>
    <row r="62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9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</row>
    <row r="63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9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</row>
    <row r="64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9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</row>
    <row r="6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9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</row>
    <row r="66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9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</row>
    <row r="67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9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</row>
    <row r="68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9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</row>
    <row r="69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9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</row>
    <row r="70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9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</row>
    <row r="7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9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</row>
    <row r="72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9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</row>
    <row r="7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97"/>
      <c r="N73" s="87"/>
      <c r="O73" s="87"/>
      <c r="P73" s="87"/>
      <c r="Q73" s="91"/>
      <c r="R73" s="91"/>
      <c r="S73" s="91"/>
      <c r="T73" s="91"/>
      <c r="U73" s="87"/>
      <c r="V73" s="87"/>
      <c r="W73" s="87"/>
      <c r="X73" s="87"/>
      <c r="Y73" s="87"/>
      <c r="Z73" s="87"/>
      <c r="AA73" s="87"/>
      <c r="AB73" s="87"/>
      <c r="AC73" s="87"/>
    </row>
    <row r="74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97"/>
      <c r="N74" s="87"/>
      <c r="O74" s="87"/>
      <c r="P74" s="87"/>
      <c r="Q74" s="91"/>
      <c r="R74" s="91"/>
      <c r="S74" s="91"/>
      <c r="T74" s="91"/>
      <c r="U74" s="87"/>
      <c r="V74" s="87"/>
      <c r="W74" s="87"/>
      <c r="X74" s="87"/>
      <c r="Y74" s="87"/>
      <c r="Z74" s="87"/>
      <c r="AA74" s="87"/>
      <c r="AB74" s="87"/>
      <c r="AC74" s="87"/>
    </row>
    <row r="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97"/>
      <c r="N75" s="87"/>
      <c r="O75" s="87"/>
      <c r="P75" s="87"/>
      <c r="Q75" s="91"/>
      <c r="R75" s="91"/>
      <c r="S75" s="91"/>
      <c r="T75" s="91"/>
      <c r="U75" s="87"/>
      <c r="V75" s="87"/>
      <c r="W75" s="87"/>
      <c r="X75" s="87"/>
      <c r="Y75" s="87"/>
      <c r="Z75" s="87"/>
      <c r="AA75" s="87"/>
      <c r="AB75" s="87"/>
      <c r="AC75" s="87"/>
    </row>
    <row r="76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97"/>
      <c r="N76" s="87"/>
      <c r="O76" s="87"/>
      <c r="P76" s="87"/>
      <c r="Q76" s="91"/>
      <c r="R76" s="91"/>
      <c r="S76" s="91"/>
      <c r="T76" s="91"/>
      <c r="U76" s="87"/>
      <c r="V76" s="87"/>
      <c r="W76" s="87"/>
      <c r="X76" s="87"/>
      <c r="Y76" s="87"/>
      <c r="Z76" s="87"/>
      <c r="AA76" s="87"/>
      <c r="AB76" s="87"/>
      <c r="AC76" s="87"/>
    </row>
    <row r="77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97"/>
      <c r="N77" s="87"/>
      <c r="O77" s="87"/>
      <c r="P77" s="87"/>
      <c r="Q77" s="91"/>
      <c r="R77" s="91"/>
      <c r="S77" s="91"/>
      <c r="T77" s="91"/>
      <c r="U77" s="87"/>
      <c r="V77" s="87"/>
      <c r="W77" s="87"/>
      <c r="X77" s="87"/>
      <c r="Y77" s="87"/>
      <c r="Z77" s="87"/>
      <c r="AA77" s="87"/>
      <c r="AB77" s="87"/>
      <c r="AC77" s="87"/>
    </row>
    <row r="78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97"/>
      <c r="N78" s="87"/>
      <c r="O78" s="87"/>
      <c r="P78" s="87"/>
      <c r="Q78" s="91"/>
      <c r="R78" s="91"/>
      <c r="S78" s="91"/>
      <c r="T78" s="91"/>
      <c r="U78" s="87"/>
      <c r="V78" s="87"/>
      <c r="W78" s="87"/>
      <c r="X78" s="87"/>
      <c r="Y78" s="87"/>
      <c r="Z78" s="87"/>
      <c r="AA78" s="87"/>
      <c r="AB78" s="87"/>
      <c r="AC78" s="87"/>
    </row>
    <row r="79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97"/>
      <c r="N79" s="87"/>
      <c r="O79" s="87"/>
      <c r="P79" s="87"/>
      <c r="Q79" s="91"/>
      <c r="R79" s="91"/>
      <c r="S79" s="91"/>
      <c r="T79" s="91"/>
      <c r="U79" s="87"/>
      <c r="V79" s="87"/>
      <c r="W79" s="87"/>
      <c r="X79" s="87"/>
      <c r="Y79" s="87"/>
      <c r="Z79" s="87"/>
      <c r="AA79" s="87"/>
      <c r="AB79" s="87"/>
      <c r="AC79" s="87"/>
    </row>
    <row r="80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97"/>
      <c r="N80" s="87"/>
      <c r="O80" s="87"/>
      <c r="P80" s="87"/>
      <c r="Q80" s="91"/>
      <c r="R80" s="91"/>
      <c r="S80" s="91"/>
      <c r="T80" s="91"/>
      <c r="U80" s="87"/>
      <c r="V80" s="87"/>
      <c r="W80" s="87"/>
      <c r="X80" s="87"/>
      <c r="Y80" s="87"/>
      <c r="Z80" s="87"/>
      <c r="AA80" s="87"/>
      <c r="AB80" s="87"/>
      <c r="AC80" s="87"/>
    </row>
    <row r="8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9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</row>
    <row r="82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9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</row>
    <row r="8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9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</row>
    <row r="84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9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</row>
    <row r="8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9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</row>
    <row r="86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9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</row>
    <row r="87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9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</row>
    <row r="88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9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</row>
    <row r="89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9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</row>
    <row r="90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9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</row>
    <row r="91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9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</row>
    <row r="92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9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</row>
    <row r="9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9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</row>
    <row r="94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9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</row>
    <row r="9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9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</row>
    <row r="96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9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</row>
    <row r="97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9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</row>
    <row r="98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9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</row>
    <row r="99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9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</row>
    <row r="100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9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</row>
    <row r="101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9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</row>
    <row r="102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9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87"/>
    </row>
    <row r="10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9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87"/>
    </row>
    <row r="104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9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87"/>
    </row>
    <row r="10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9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</row>
    <row r="106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9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</row>
    <row r="107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9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</row>
    <row r="108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9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87"/>
    </row>
    <row r="109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9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</row>
    <row r="110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9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</row>
    <row r="111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9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87"/>
    </row>
    <row r="112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9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87"/>
    </row>
    <row r="11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9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</row>
    <row r="114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9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87"/>
    </row>
    <row r="11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9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87"/>
    </row>
    <row r="116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9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87"/>
    </row>
    <row r="117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9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</row>
    <row r="118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9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87"/>
    </row>
    <row r="119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9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</row>
    <row r="120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9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87"/>
    </row>
    <row r="12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9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</row>
    <row r="122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9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87"/>
    </row>
    <row r="12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9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</row>
    <row r="124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9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87"/>
    </row>
    <row r="12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9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87"/>
    </row>
    <row r="126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9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87"/>
    </row>
    <row r="127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9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87"/>
    </row>
    <row r="128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9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87"/>
    </row>
    <row r="129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9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87"/>
    </row>
    <row r="130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9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87"/>
    </row>
    <row r="131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9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87"/>
    </row>
    <row r="132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9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87"/>
    </row>
    <row r="13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9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87"/>
    </row>
    <row r="134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9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87"/>
    </row>
    <row r="13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9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87"/>
    </row>
    <row r="136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9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87"/>
    </row>
    <row r="137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9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87"/>
    </row>
    <row r="138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9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87"/>
    </row>
    <row r="139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9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87"/>
    </row>
    <row r="140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9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</row>
    <row r="141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9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7"/>
    </row>
    <row r="14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9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7"/>
    </row>
    <row r="14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9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7"/>
    </row>
    <row r="144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9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7"/>
    </row>
    <row r="14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9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7"/>
    </row>
    <row r="146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9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7"/>
    </row>
    <row r="147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9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7"/>
    </row>
    <row r="148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9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7"/>
    </row>
    <row r="149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9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7"/>
    </row>
    <row r="150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9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7"/>
    </row>
    <row r="151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9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7"/>
    </row>
    <row r="15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9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7"/>
    </row>
    <row r="15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9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7"/>
    </row>
    <row r="154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9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7"/>
    </row>
    <row r="15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9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7"/>
    </row>
    <row r="156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9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</row>
    <row r="157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9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7"/>
    </row>
    <row r="158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9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</row>
    <row r="159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9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7"/>
    </row>
    <row r="160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9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7"/>
    </row>
    <row r="161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9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7"/>
    </row>
    <row r="16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9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7"/>
    </row>
    <row r="16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9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7"/>
    </row>
    <row r="164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9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7"/>
    </row>
    <row r="16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9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7"/>
    </row>
    <row r="166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9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7"/>
    </row>
    <row r="167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9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7"/>
    </row>
    <row r="168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9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7"/>
    </row>
    <row r="169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9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7"/>
    </row>
    <row r="170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9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7"/>
    </row>
    <row r="171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9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7"/>
    </row>
    <row r="17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9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7"/>
    </row>
    <row r="17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9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7"/>
    </row>
    <row r="174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9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</row>
    <row r="1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9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</row>
    <row r="176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9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</row>
    <row r="177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9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</row>
    <row r="178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9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</row>
    <row r="179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9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7"/>
    </row>
    <row r="180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9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7"/>
    </row>
    <row r="181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9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7"/>
    </row>
    <row r="18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9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7"/>
    </row>
    <row r="18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9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7"/>
    </row>
    <row r="184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9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7"/>
    </row>
    <row r="18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9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7"/>
    </row>
    <row r="186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9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7"/>
    </row>
    <row r="187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9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7"/>
    </row>
    <row r="188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9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7"/>
    </row>
    <row r="189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9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</row>
    <row r="190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9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7"/>
    </row>
    <row r="191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9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7"/>
    </row>
    <row r="19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9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</row>
    <row r="19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9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</row>
    <row r="194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9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</row>
    <row r="19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9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7"/>
    </row>
    <row r="196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9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7"/>
    </row>
    <row r="197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9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7"/>
    </row>
    <row r="198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9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7"/>
    </row>
    <row r="199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9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7"/>
    </row>
    <row r="200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9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7"/>
    </row>
    <row r="201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9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7"/>
    </row>
    <row r="20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9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7"/>
    </row>
    <row r="20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9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7"/>
    </row>
    <row r="204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9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7"/>
    </row>
    <row r="20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9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7"/>
    </row>
    <row r="206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9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7"/>
    </row>
    <row r="207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9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7"/>
    </row>
    <row r="208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9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</row>
    <row r="209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9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</row>
    <row r="210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9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</row>
    <row r="211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9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7"/>
    </row>
    <row r="21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9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7"/>
    </row>
    <row r="21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9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7"/>
    </row>
    <row r="214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9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7"/>
    </row>
    <row r="21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9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7"/>
    </row>
    <row r="216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9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7"/>
    </row>
    <row r="217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9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7"/>
    </row>
    <row r="218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9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7"/>
    </row>
    <row r="219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9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7"/>
    </row>
    <row r="220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9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</row>
    <row r="221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9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</row>
    <row r="22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9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</row>
    <row r="22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9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</row>
    <row r="224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9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</row>
    <row r="22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9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</row>
    <row r="226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9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</row>
    <row r="227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9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</row>
    <row r="228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9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</row>
    <row r="229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9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</row>
    <row r="230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9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</row>
    <row r="231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9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</row>
    <row r="232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9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</row>
    <row r="23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9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</row>
    <row r="234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9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</row>
    <row r="23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97"/>
      <c r="N235" s="87"/>
      <c r="O235" s="87"/>
      <c r="P235" s="87"/>
      <c r="Q235" s="87"/>
      <c r="R235" s="87"/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</row>
    <row r="236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97"/>
      <c r="N236" s="87"/>
      <c r="O236" s="87"/>
      <c r="P236" s="87"/>
      <c r="Q236" s="87"/>
      <c r="R236" s="87"/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</row>
    <row r="237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97"/>
      <c r="N237" s="87"/>
      <c r="O237" s="87"/>
      <c r="P237" s="87"/>
      <c r="Q237" s="87"/>
      <c r="R237" s="87"/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</row>
    <row r="238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97"/>
      <c r="N238" s="87"/>
      <c r="O238" s="87"/>
      <c r="P238" s="87"/>
      <c r="Q238" s="87"/>
      <c r="R238" s="87"/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</row>
    <row r="239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97"/>
      <c r="N239" s="87"/>
      <c r="O239" s="87"/>
      <c r="P239" s="87"/>
      <c r="Q239" s="87"/>
      <c r="R239" s="87"/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</row>
    <row r="240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97"/>
      <c r="N240" s="87"/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</row>
    <row r="241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97"/>
      <c r="N241" s="87"/>
      <c r="O241" s="87"/>
      <c r="P241" s="87"/>
      <c r="Q241" s="87"/>
      <c r="R241" s="87"/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</row>
    <row r="242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97"/>
      <c r="N242" s="87"/>
      <c r="O242" s="87"/>
      <c r="P242" s="87"/>
      <c r="Q242" s="87"/>
      <c r="R242" s="87"/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</row>
    <row r="243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9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</row>
    <row r="244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97"/>
      <c r="N244" s="87"/>
      <c r="O244" s="87"/>
      <c r="P244" s="87"/>
      <c r="Q244" s="87"/>
      <c r="R244" s="87"/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</row>
    <row r="24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97"/>
      <c r="N245" s="87"/>
      <c r="O245" s="87"/>
      <c r="P245" s="87"/>
      <c r="Q245" s="87"/>
      <c r="R245" s="87"/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</row>
    <row r="246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97"/>
      <c r="N246" s="87"/>
      <c r="O246" s="87"/>
      <c r="P246" s="87"/>
      <c r="Q246" s="87"/>
      <c r="R246" s="87"/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</row>
    <row r="247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97"/>
      <c r="N247" s="87"/>
      <c r="O247" s="87"/>
      <c r="P247" s="87"/>
      <c r="Q247" s="87"/>
      <c r="R247" s="87"/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</row>
    <row r="248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97"/>
      <c r="N248" s="87"/>
      <c r="O248" s="87"/>
      <c r="P248" s="87"/>
      <c r="Q248" s="87"/>
      <c r="R248" s="87"/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</row>
    <row r="249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97"/>
      <c r="N249" s="87"/>
      <c r="O249" s="87"/>
      <c r="P249" s="87"/>
      <c r="Q249" s="87"/>
      <c r="R249" s="87"/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</row>
    <row r="250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97"/>
      <c r="N250" s="87"/>
      <c r="O250" s="87"/>
      <c r="P250" s="87"/>
      <c r="Q250" s="87"/>
      <c r="R250" s="87"/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</row>
    <row r="251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97"/>
      <c r="N251" s="87"/>
      <c r="O251" s="87"/>
      <c r="P251" s="87"/>
      <c r="Q251" s="87"/>
      <c r="R251" s="87"/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</row>
    <row r="252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97"/>
      <c r="N252" s="87"/>
      <c r="O252" s="87"/>
      <c r="P252" s="87"/>
      <c r="Q252" s="87"/>
      <c r="R252" s="87"/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</row>
    <row r="253">
      <c r="A253" s="87"/>
      <c r="B253" s="87"/>
      <c r="C253" s="87"/>
      <c r="D253" s="87"/>
      <c r="E253" s="87"/>
      <c r="F253" s="87"/>
      <c r="G253" s="87"/>
      <c r="H253" s="87"/>
      <c r="I253" s="87"/>
      <c r="J253" s="87"/>
      <c r="K253" s="87"/>
      <c r="L253" s="87"/>
      <c r="M253" s="9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</row>
    <row r="254">
      <c r="A254" s="87"/>
      <c r="B254" s="87"/>
      <c r="C254" s="87"/>
      <c r="D254" s="87"/>
      <c r="E254" s="87"/>
      <c r="F254" s="87"/>
      <c r="G254" s="87"/>
      <c r="H254" s="87"/>
      <c r="I254" s="87"/>
      <c r="J254" s="87"/>
      <c r="K254" s="87"/>
      <c r="L254" s="87"/>
      <c r="M254" s="9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</row>
    <row r="255">
      <c r="A255" s="87"/>
      <c r="B255" s="87"/>
      <c r="C255" s="87"/>
      <c r="D255" s="87"/>
      <c r="E255" s="87"/>
      <c r="F255" s="87"/>
      <c r="G255" s="87"/>
      <c r="H255" s="87"/>
      <c r="I255" s="87"/>
      <c r="J255" s="87"/>
      <c r="K255" s="87"/>
      <c r="L255" s="87"/>
      <c r="M255" s="97"/>
      <c r="N255" s="87"/>
      <c r="O255" s="87"/>
      <c r="P255" s="87"/>
      <c r="Q255" s="87"/>
      <c r="R255" s="87"/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</row>
    <row r="256">
      <c r="A256" s="87"/>
      <c r="B256" s="87"/>
      <c r="C256" s="87"/>
      <c r="D256" s="87"/>
      <c r="E256" s="87"/>
      <c r="F256" s="87"/>
      <c r="G256" s="87"/>
      <c r="H256" s="87"/>
      <c r="I256" s="87"/>
      <c r="J256" s="87"/>
      <c r="K256" s="87"/>
      <c r="L256" s="87"/>
      <c r="M256" s="97"/>
      <c r="N256" s="87"/>
      <c r="O256" s="87"/>
      <c r="P256" s="87"/>
      <c r="Q256" s="87"/>
      <c r="R256" s="87"/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</row>
    <row r="257">
      <c r="A257" s="87"/>
      <c r="B257" s="87"/>
      <c r="C257" s="87"/>
      <c r="D257" s="87"/>
      <c r="E257" s="87"/>
      <c r="F257" s="87"/>
      <c r="G257" s="87"/>
      <c r="H257" s="87"/>
      <c r="I257" s="87"/>
      <c r="J257" s="87"/>
      <c r="K257" s="87"/>
      <c r="L257" s="87"/>
      <c r="M257" s="97"/>
      <c r="N257" s="87"/>
      <c r="O257" s="87"/>
      <c r="P257" s="87"/>
      <c r="Q257" s="87"/>
      <c r="R257" s="87"/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</row>
    <row r="258">
      <c r="A258" s="87"/>
      <c r="B258" s="87"/>
      <c r="C258" s="87"/>
      <c r="D258" s="87"/>
      <c r="E258" s="87"/>
      <c r="F258" s="87"/>
      <c r="G258" s="87"/>
      <c r="H258" s="87"/>
      <c r="I258" s="87"/>
      <c r="J258" s="87"/>
      <c r="K258" s="87"/>
      <c r="L258" s="87"/>
      <c r="M258" s="97"/>
      <c r="N258" s="87"/>
      <c r="O258" s="87"/>
      <c r="P258" s="87"/>
      <c r="Q258" s="87"/>
      <c r="R258" s="87"/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</row>
    <row r="259">
      <c r="A259" s="87"/>
      <c r="B259" s="87"/>
      <c r="C259" s="87"/>
      <c r="D259" s="87"/>
      <c r="E259" s="87"/>
      <c r="F259" s="87"/>
      <c r="G259" s="87"/>
      <c r="H259" s="87"/>
      <c r="I259" s="87"/>
      <c r="J259" s="87"/>
      <c r="K259" s="87"/>
      <c r="L259" s="87"/>
      <c r="M259" s="97"/>
      <c r="N259" s="87"/>
      <c r="O259" s="87"/>
      <c r="P259" s="87"/>
      <c r="Q259" s="87"/>
      <c r="R259" s="87"/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</row>
    <row r="260">
      <c r="A260" s="87"/>
      <c r="B260" s="87"/>
      <c r="C260" s="87"/>
      <c r="D260" s="87"/>
      <c r="E260" s="87"/>
      <c r="F260" s="87"/>
      <c r="G260" s="87"/>
      <c r="H260" s="87"/>
      <c r="I260" s="87"/>
      <c r="J260" s="87"/>
      <c r="K260" s="87"/>
      <c r="L260" s="87"/>
      <c r="M260" s="97"/>
      <c r="N260" s="87"/>
      <c r="O260" s="87"/>
      <c r="P260" s="87"/>
      <c r="Q260" s="87"/>
      <c r="R260" s="87"/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</row>
    <row r="261">
      <c r="A261" s="87"/>
      <c r="B261" s="87"/>
      <c r="C261" s="87"/>
      <c r="D261" s="87"/>
      <c r="E261" s="87"/>
      <c r="F261" s="87"/>
      <c r="G261" s="87"/>
      <c r="H261" s="87"/>
      <c r="I261" s="87"/>
      <c r="J261" s="87"/>
      <c r="K261" s="87"/>
      <c r="L261" s="87"/>
      <c r="M261" s="97"/>
      <c r="N261" s="87"/>
      <c r="O261" s="87"/>
      <c r="P261" s="87"/>
      <c r="Q261" s="87"/>
      <c r="R261" s="87"/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</row>
    <row r="262">
      <c r="A262" s="87"/>
      <c r="B262" s="87"/>
      <c r="C262" s="87"/>
      <c r="D262" s="87"/>
      <c r="E262" s="87"/>
      <c r="F262" s="87"/>
      <c r="G262" s="87"/>
      <c r="H262" s="87"/>
      <c r="I262" s="87"/>
      <c r="J262" s="87"/>
      <c r="K262" s="87"/>
      <c r="L262" s="87"/>
      <c r="M262" s="97"/>
      <c r="N262" s="87"/>
      <c r="O262" s="87"/>
      <c r="P262" s="87"/>
      <c r="Q262" s="87"/>
      <c r="R262" s="87"/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</row>
    <row r="263">
      <c r="A263" s="87"/>
      <c r="B263" s="87"/>
      <c r="C263" s="87"/>
      <c r="D263" s="87"/>
      <c r="E263" s="87"/>
      <c r="F263" s="87"/>
      <c r="G263" s="87"/>
      <c r="H263" s="87"/>
      <c r="I263" s="87"/>
      <c r="J263" s="87"/>
      <c r="K263" s="87"/>
      <c r="L263" s="87"/>
      <c r="M263" s="97"/>
      <c r="N263" s="87"/>
      <c r="O263" s="87"/>
      <c r="P263" s="87"/>
      <c r="Q263" s="87"/>
      <c r="R263" s="87"/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</row>
    <row r="264">
      <c r="A264" s="87"/>
      <c r="B264" s="87"/>
      <c r="C264" s="87"/>
      <c r="D264" s="87"/>
      <c r="E264" s="87"/>
      <c r="F264" s="87"/>
      <c r="G264" s="87"/>
      <c r="H264" s="87"/>
      <c r="I264" s="87"/>
      <c r="J264" s="87"/>
      <c r="K264" s="87"/>
      <c r="L264" s="87"/>
      <c r="M264" s="97"/>
      <c r="N264" s="87"/>
      <c r="O264" s="87"/>
      <c r="P264" s="87"/>
      <c r="Q264" s="87"/>
      <c r="R264" s="87"/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</row>
    <row r="265">
      <c r="A265" s="87"/>
      <c r="B265" s="87"/>
      <c r="C265" s="87"/>
      <c r="D265" s="87"/>
      <c r="E265" s="87"/>
      <c r="F265" s="87"/>
      <c r="G265" s="87"/>
      <c r="H265" s="87"/>
      <c r="I265" s="87"/>
      <c r="J265" s="87"/>
      <c r="K265" s="87"/>
      <c r="L265" s="87"/>
      <c r="M265" s="97"/>
      <c r="N265" s="87"/>
      <c r="O265" s="87"/>
      <c r="P265" s="87"/>
      <c r="Q265" s="87"/>
      <c r="R265" s="87"/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</row>
    <row r="266">
      <c r="A266" s="87"/>
      <c r="B266" s="87"/>
      <c r="C266" s="87"/>
      <c r="D266" s="87"/>
      <c r="E266" s="87"/>
      <c r="F266" s="87"/>
      <c r="G266" s="87"/>
      <c r="H266" s="87"/>
      <c r="I266" s="87"/>
      <c r="J266" s="87"/>
      <c r="K266" s="87"/>
      <c r="L266" s="87"/>
      <c r="M266" s="97"/>
      <c r="N266" s="87"/>
      <c r="O266" s="87"/>
      <c r="P266" s="87"/>
      <c r="Q266" s="87"/>
      <c r="R266" s="87"/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</row>
    <row r="267">
      <c r="A267" s="87"/>
      <c r="B267" s="87"/>
      <c r="C267" s="87"/>
      <c r="D267" s="87"/>
      <c r="E267" s="87"/>
      <c r="F267" s="87"/>
      <c r="G267" s="87"/>
      <c r="H267" s="87"/>
      <c r="I267" s="87"/>
      <c r="J267" s="87"/>
      <c r="K267" s="87"/>
      <c r="L267" s="87"/>
      <c r="M267" s="97"/>
      <c r="N267" s="87"/>
      <c r="O267" s="87"/>
      <c r="P267" s="87"/>
      <c r="Q267" s="87"/>
      <c r="R267" s="87"/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</row>
    <row r="268">
      <c r="A268" s="87"/>
      <c r="B268" s="87"/>
      <c r="C268" s="87"/>
      <c r="D268" s="87"/>
      <c r="E268" s="87"/>
      <c r="F268" s="87"/>
      <c r="G268" s="87"/>
      <c r="H268" s="87"/>
      <c r="I268" s="87"/>
      <c r="J268" s="87"/>
      <c r="K268" s="87"/>
      <c r="L268" s="87"/>
      <c r="M268" s="97"/>
      <c r="N268" s="87"/>
      <c r="O268" s="87"/>
      <c r="P268" s="87"/>
      <c r="Q268" s="87"/>
      <c r="R268" s="87"/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</row>
    <row r="269">
      <c r="A269" s="87"/>
      <c r="B269" s="87"/>
      <c r="C269" s="87"/>
      <c r="D269" s="87"/>
      <c r="E269" s="87"/>
      <c r="F269" s="87"/>
      <c r="G269" s="87"/>
      <c r="H269" s="87"/>
      <c r="I269" s="87"/>
      <c r="J269" s="87"/>
      <c r="K269" s="87"/>
      <c r="L269" s="87"/>
      <c r="M269" s="97"/>
      <c r="N269" s="87"/>
      <c r="O269" s="87"/>
      <c r="P269" s="87"/>
      <c r="Q269" s="87"/>
      <c r="R269" s="87"/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</row>
    <row r="270">
      <c r="A270" s="87"/>
      <c r="B270" s="87"/>
      <c r="C270" s="87"/>
      <c r="D270" s="87"/>
      <c r="E270" s="87"/>
      <c r="F270" s="87"/>
      <c r="G270" s="87"/>
      <c r="H270" s="87"/>
      <c r="I270" s="87"/>
      <c r="J270" s="87"/>
      <c r="K270" s="87"/>
      <c r="L270" s="87"/>
      <c r="M270" s="97"/>
      <c r="N270" s="87"/>
      <c r="O270" s="87"/>
      <c r="P270" s="87"/>
      <c r="Q270" s="87"/>
      <c r="R270" s="87"/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</row>
    <row r="271">
      <c r="A271" s="87"/>
      <c r="B271" s="87"/>
      <c r="C271" s="87"/>
      <c r="D271" s="87"/>
      <c r="E271" s="87"/>
      <c r="F271" s="87"/>
      <c r="G271" s="87"/>
      <c r="H271" s="87"/>
      <c r="I271" s="87"/>
      <c r="J271" s="87"/>
      <c r="K271" s="87"/>
      <c r="L271" s="87"/>
      <c r="M271" s="97"/>
      <c r="N271" s="87"/>
      <c r="O271" s="87"/>
      <c r="P271" s="87"/>
      <c r="Q271" s="87"/>
      <c r="R271" s="87"/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</row>
    <row r="272">
      <c r="A272" s="87"/>
      <c r="B272" s="87"/>
      <c r="C272" s="87"/>
      <c r="D272" s="87"/>
      <c r="E272" s="87"/>
      <c r="F272" s="87"/>
      <c r="G272" s="87"/>
      <c r="H272" s="87"/>
      <c r="I272" s="87"/>
      <c r="J272" s="87"/>
      <c r="K272" s="87"/>
      <c r="L272" s="87"/>
      <c r="M272" s="97"/>
      <c r="N272" s="87"/>
      <c r="O272" s="87"/>
      <c r="P272" s="87"/>
      <c r="Q272" s="87"/>
      <c r="R272" s="87"/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</row>
    <row r="273">
      <c r="A273" s="87"/>
      <c r="B273" s="87"/>
      <c r="C273" s="87"/>
      <c r="D273" s="87"/>
      <c r="E273" s="87"/>
      <c r="F273" s="87"/>
      <c r="G273" s="87"/>
      <c r="H273" s="87"/>
      <c r="I273" s="87"/>
      <c r="J273" s="87"/>
      <c r="K273" s="87"/>
      <c r="L273" s="87"/>
      <c r="M273" s="97"/>
      <c r="N273" s="87"/>
      <c r="O273" s="87"/>
      <c r="P273" s="87"/>
      <c r="Q273" s="87"/>
      <c r="R273" s="87"/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</row>
    <row r="274">
      <c r="A274" s="87"/>
      <c r="B274" s="87"/>
      <c r="C274" s="87"/>
      <c r="D274" s="87"/>
      <c r="E274" s="87"/>
      <c r="F274" s="87"/>
      <c r="G274" s="87"/>
      <c r="H274" s="87"/>
      <c r="I274" s="87"/>
      <c r="J274" s="87"/>
      <c r="K274" s="87"/>
      <c r="L274" s="87"/>
      <c r="M274" s="97"/>
      <c r="N274" s="87"/>
      <c r="O274" s="87"/>
      <c r="P274" s="87"/>
      <c r="Q274" s="87"/>
      <c r="R274" s="87"/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</row>
    <row r="275">
      <c r="A275" s="87"/>
      <c r="B275" s="87"/>
      <c r="C275" s="87"/>
      <c r="D275" s="87"/>
      <c r="E275" s="87"/>
      <c r="F275" s="87"/>
      <c r="G275" s="87"/>
      <c r="H275" s="87"/>
      <c r="I275" s="87"/>
      <c r="J275" s="87"/>
      <c r="K275" s="87"/>
      <c r="L275" s="87"/>
      <c r="M275" s="97"/>
      <c r="N275" s="87"/>
      <c r="O275" s="87"/>
      <c r="P275" s="87"/>
      <c r="Q275" s="87"/>
      <c r="R275" s="87"/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</row>
    <row r="276">
      <c r="A276" s="87"/>
      <c r="B276" s="87"/>
      <c r="C276" s="87"/>
      <c r="D276" s="87"/>
      <c r="E276" s="87"/>
      <c r="F276" s="87"/>
      <c r="G276" s="87"/>
      <c r="H276" s="87"/>
      <c r="I276" s="87"/>
      <c r="J276" s="87"/>
      <c r="K276" s="87"/>
      <c r="L276" s="87"/>
      <c r="M276" s="97"/>
      <c r="N276" s="87"/>
      <c r="O276" s="87"/>
      <c r="P276" s="87"/>
      <c r="Q276" s="87"/>
      <c r="R276" s="87"/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</row>
    <row r="277">
      <c r="A277" s="87"/>
      <c r="B277" s="87"/>
      <c r="C277" s="87"/>
      <c r="D277" s="87"/>
      <c r="E277" s="87"/>
      <c r="F277" s="87"/>
      <c r="G277" s="87"/>
      <c r="H277" s="87"/>
      <c r="I277" s="87"/>
      <c r="J277" s="87"/>
      <c r="K277" s="87"/>
      <c r="L277" s="87"/>
      <c r="M277" s="97"/>
      <c r="N277" s="87"/>
      <c r="O277" s="87"/>
      <c r="P277" s="87"/>
      <c r="Q277" s="87"/>
      <c r="R277" s="87"/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</row>
    <row r="278">
      <c r="A278" s="87"/>
      <c r="B278" s="87"/>
      <c r="C278" s="87"/>
      <c r="D278" s="87"/>
      <c r="E278" s="87"/>
      <c r="F278" s="87"/>
      <c r="G278" s="87"/>
      <c r="H278" s="87"/>
      <c r="I278" s="87"/>
      <c r="J278" s="87"/>
      <c r="K278" s="87"/>
      <c r="L278" s="87"/>
      <c r="M278" s="97"/>
      <c r="N278" s="87"/>
      <c r="O278" s="87"/>
      <c r="P278" s="87"/>
      <c r="Q278" s="87"/>
      <c r="R278" s="87"/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</row>
    <row r="279">
      <c r="A279" s="87"/>
      <c r="B279" s="87"/>
      <c r="C279" s="87"/>
      <c r="D279" s="87"/>
      <c r="E279" s="87"/>
      <c r="F279" s="87"/>
      <c r="G279" s="87"/>
      <c r="H279" s="87"/>
      <c r="I279" s="87"/>
      <c r="J279" s="87"/>
      <c r="K279" s="87"/>
      <c r="L279" s="87"/>
      <c r="M279" s="97"/>
      <c r="N279" s="87"/>
      <c r="O279" s="87"/>
      <c r="P279" s="87"/>
      <c r="Q279" s="87"/>
      <c r="R279" s="87"/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</row>
    <row r="280">
      <c r="A280" s="87"/>
      <c r="B280" s="87"/>
      <c r="C280" s="87"/>
      <c r="D280" s="87"/>
      <c r="E280" s="87"/>
      <c r="F280" s="87"/>
      <c r="G280" s="87"/>
      <c r="H280" s="87"/>
      <c r="I280" s="87"/>
      <c r="J280" s="87"/>
      <c r="K280" s="87"/>
      <c r="L280" s="87"/>
      <c r="M280" s="97"/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</row>
    <row r="281">
      <c r="A281" s="87"/>
      <c r="B281" s="87"/>
      <c r="C281" s="87"/>
      <c r="D281" s="87"/>
      <c r="E281" s="87"/>
      <c r="F281" s="87"/>
      <c r="G281" s="87"/>
      <c r="H281" s="87"/>
      <c r="I281" s="87"/>
      <c r="J281" s="87"/>
      <c r="K281" s="87"/>
      <c r="L281" s="87"/>
      <c r="M281" s="97"/>
      <c r="N281" s="87"/>
      <c r="O281" s="87"/>
      <c r="P281" s="87"/>
      <c r="Q281" s="87"/>
      <c r="R281" s="87"/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</row>
    <row r="282">
      <c r="A282" s="87"/>
      <c r="B282" s="87"/>
      <c r="C282" s="87"/>
      <c r="D282" s="87"/>
      <c r="E282" s="87"/>
      <c r="F282" s="87"/>
      <c r="G282" s="87"/>
      <c r="H282" s="87"/>
      <c r="I282" s="87"/>
      <c r="J282" s="87"/>
      <c r="K282" s="87"/>
      <c r="L282" s="87"/>
      <c r="M282" s="97"/>
      <c r="N282" s="87"/>
      <c r="O282" s="87"/>
      <c r="P282" s="87"/>
      <c r="Q282" s="87"/>
      <c r="R282" s="87"/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</row>
    <row r="283">
      <c r="A283" s="87"/>
      <c r="B283" s="87"/>
      <c r="C283" s="87"/>
      <c r="D283" s="87"/>
      <c r="E283" s="87"/>
      <c r="F283" s="87"/>
      <c r="G283" s="87"/>
      <c r="H283" s="87"/>
      <c r="I283" s="87"/>
      <c r="J283" s="87"/>
      <c r="K283" s="87"/>
      <c r="L283" s="87"/>
      <c r="M283" s="97"/>
      <c r="N283" s="87"/>
      <c r="O283" s="87"/>
      <c r="P283" s="87"/>
      <c r="Q283" s="87"/>
      <c r="R283" s="87"/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</row>
    <row r="284">
      <c r="A284" s="87"/>
      <c r="B284" s="87"/>
      <c r="C284" s="87"/>
      <c r="D284" s="87"/>
      <c r="E284" s="87"/>
      <c r="F284" s="87"/>
      <c r="G284" s="87"/>
      <c r="H284" s="87"/>
      <c r="I284" s="87"/>
      <c r="J284" s="87"/>
      <c r="K284" s="87"/>
      <c r="L284" s="87"/>
      <c r="M284" s="97"/>
      <c r="N284" s="87"/>
      <c r="O284" s="87"/>
      <c r="P284" s="87"/>
      <c r="Q284" s="87"/>
      <c r="R284" s="87"/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</row>
    <row r="285">
      <c r="A285" s="87"/>
      <c r="B285" s="87"/>
      <c r="C285" s="87"/>
      <c r="D285" s="87"/>
      <c r="E285" s="87"/>
      <c r="F285" s="87"/>
      <c r="G285" s="87"/>
      <c r="H285" s="87"/>
      <c r="I285" s="87"/>
      <c r="J285" s="87"/>
      <c r="K285" s="87"/>
      <c r="L285" s="87"/>
      <c r="M285" s="97"/>
      <c r="N285" s="87"/>
      <c r="O285" s="87"/>
      <c r="P285" s="87"/>
      <c r="Q285" s="87"/>
      <c r="R285" s="87"/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</row>
    <row r="286">
      <c r="A286" s="87"/>
      <c r="B286" s="87"/>
      <c r="C286" s="87"/>
      <c r="D286" s="87"/>
      <c r="E286" s="87"/>
      <c r="F286" s="87"/>
      <c r="G286" s="87"/>
      <c r="H286" s="87"/>
      <c r="I286" s="87"/>
      <c r="J286" s="87"/>
      <c r="K286" s="87"/>
      <c r="L286" s="87"/>
      <c r="M286" s="97"/>
      <c r="N286" s="87"/>
      <c r="O286" s="87"/>
      <c r="P286" s="87"/>
      <c r="Q286" s="87"/>
      <c r="R286" s="87"/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</row>
    <row r="287">
      <c r="A287" s="87"/>
      <c r="B287" s="87"/>
      <c r="C287" s="87"/>
      <c r="D287" s="87"/>
      <c r="E287" s="87"/>
      <c r="F287" s="87"/>
      <c r="G287" s="87"/>
      <c r="H287" s="87"/>
      <c r="I287" s="87"/>
      <c r="J287" s="87"/>
      <c r="K287" s="87"/>
      <c r="L287" s="87"/>
      <c r="M287" s="97"/>
      <c r="N287" s="87"/>
      <c r="O287" s="87"/>
      <c r="P287" s="87"/>
      <c r="Q287" s="87"/>
      <c r="R287" s="87"/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</row>
    <row r="288">
      <c r="A288" s="87"/>
      <c r="B288" s="87"/>
      <c r="C288" s="87"/>
      <c r="D288" s="87"/>
      <c r="E288" s="87"/>
      <c r="F288" s="87"/>
      <c r="G288" s="87"/>
      <c r="H288" s="87"/>
      <c r="I288" s="87"/>
      <c r="J288" s="87"/>
      <c r="K288" s="87"/>
      <c r="L288" s="87"/>
      <c r="M288" s="97"/>
      <c r="N288" s="87"/>
      <c r="O288" s="87"/>
      <c r="P288" s="87"/>
      <c r="Q288" s="87"/>
      <c r="R288" s="87"/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</row>
    <row r="289">
      <c r="A289" s="87"/>
      <c r="B289" s="87"/>
      <c r="C289" s="87"/>
      <c r="D289" s="87"/>
      <c r="E289" s="87"/>
      <c r="F289" s="87"/>
      <c r="G289" s="87"/>
      <c r="H289" s="87"/>
      <c r="I289" s="87"/>
      <c r="J289" s="87"/>
      <c r="K289" s="87"/>
      <c r="L289" s="87"/>
      <c r="M289" s="97"/>
      <c r="N289" s="87"/>
      <c r="O289" s="87"/>
      <c r="P289" s="87"/>
      <c r="Q289" s="87"/>
      <c r="R289" s="87"/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</row>
    <row r="290">
      <c r="A290" s="87"/>
      <c r="B290" s="87"/>
      <c r="C290" s="87"/>
      <c r="D290" s="87"/>
      <c r="E290" s="87"/>
      <c r="F290" s="87"/>
      <c r="G290" s="87"/>
      <c r="H290" s="87"/>
      <c r="I290" s="87"/>
      <c r="J290" s="87"/>
      <c r="K290" s="87"/>
      <c r="L290" s="87"/>
      <c r="M290" s="97"/>
      <c r="N290" s="87"/>
      <c r="O290" s="87"/>
      <c r="P290" s="87"/>
      <c r="Q290" s="87"/>
      <c r="R290" s="87"/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</row>
    <row r="291">
      <c r="A291" s="87"/>
      <c r="B291" s="87"/>
      <c r="C291" s="87"/>
      <c r="D291" s="87"/>
      <c r="E291" s="87"/>
      <c r="F291" s="87"/>
      <c r="G291" s="87"/>
      <c r="H291" s="87"/>
      <c r="I291" s="87"/>
      <c r="J291" s="87"/>
      <c r="K291" s="87"/>
      <c r="L291" s="87"/>
      <c r="M291" s="97"/>
      <c r="N291" s="87"/>
      <c r="O291" s="87"/>
      <c r="P291" s="87"/>
      <c r="Q291" s="87"/>
      <c r="R291" s="87"/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</row>
    <row r="292">
      <c r="A292" s="87"/>
      <c r="B292" s="87"/>
      <c r="C292" s="87"/>
      <c r="D292" s="87"/>
      <c r="E292" s="87"/>
      <c r="F292" s="87"/>
      <c r="G292" s="87"/>
      <c r="H292" s="87"/>
      <c r="I292" s="87"/>
      <c r="J292" s="87"/>
      <c r="K292" s="87"/>
      <c r="L292" s="87"/>
      <c r="M292" s="97"/>
      <c r="N292" s="87"/>
      <c r="O292" s="87"/>
      <c r="P292" s="87"/>
      <c r="Q292" s="87"/>
      <c r="R292" s="87"/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</row>
    <row r="293">
      <c r="A293" s="87"/>
      <c r="B293" s="87"/>
      <c r="C293" s="87"/>
      <c r="D293" s="87"/>
      <c r="E293" s="87"/>
      <c r="F293" s="87"/>
      <c r="G293" s="87"/>
      <c r="H293" s="87"/>
      <c r="I293" s="87"/>
      <c r="J293" s="87"/>
      <c r="K293" s="87"/>
      <c r="L293" s="87"/>
      <c r="M293" s="97"/>
      <c r="N293" s="87"/>
      <c r="O293" s="87"/>
      <c r="P293" s="87"/>
      <c r="Q293" s="87"/>
      <c r="R293" s="87"/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</row>
    <row r="294">
      <c r="A294" s="87"/>
      <c r="B294" s="87"/>
      <c r="C294" s="87"/>
      <c r="D294" s="87"/>
      <c r="E294" s="87"/>
      <c r="F294" s="87"/>
      <c r="G294" s="87"/>
      <c r="H294" s="87"/>
      <c r="I294" s="87"/>
      <c r="J294" s="87"/>
      <c r="K294" s="87"/>
      <c r="L294" s="87"/>
      <c r="M294" s="97"/>
      <c r="N294" s="87"/>
      <c r="O294" s="87"/>
      <c r="P294" s="87"/>
      <c r="Q294" s="87"/>
      <c r="R294" s="87"/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</row>
    <row r="295">
      <c r="A295" s="87"/>
      <c r="B295" s="87"/>
      <c r="C295" s="87"/>
      <c r="D295" s="87"/>
      <c r="E295" s="87"/>
      <c r="F295" s="87"/>
      <c r="G295" s="87"/>
      <c r="H295" s="87"/>
      <c r="I295" s="87"/>
      <c r="J295" s="87"/>
      <c r="K295" s="87"/>
      <c r="L295" s="87"/>
      <c r="M295" s="97"/>
      <c r="N295" s="87"/>
      <c r="O295" s="87"/>
      <c r="P295" s="87"/>
      <c r="Q295" s="87"/>
      <c r="R295" s="87"/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</row>
    <row r="296">
      <c r="A296" s="87"/>
      <c r="B296" s="87"/>
      <c r="C296" s="87"/>
      <c r="D296" s="87"/>
      <c r="E296" s="87"/>
      <c r="F296" s="87"/>
      <c r="G296" s="87"/>
      <c r="H296" s="87"/>
      <c r="I296" s="87"/>
      <c r="J296" s="87"/>
      <c r="K296" s="87"/>
      <c r="L296" s="87"/>
      <c r="M296" s="97"/>
      <c r="N296" s="87"/>
      <c r="O296" s="87"/>
      <c r="P296" s="87"/>
      <c r="Q296" s="87"/>
      <c r="R296" s="87"/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</row>
    <row r="297">
      <c r="A297" s="87"/>
      <c r="B297" s="87"/>
      <c r="C297" s="87"/>
      <c r="D297" s="87"/>
      <c r="E297" s="87"/>
      <c r="F297" s="87"/>
      <c r="G297" s="87"/>
      <c r="H297" s="87"/>
      <c r="I297" s="87"/>
      <c r="J297" s="87"/>
      <c r="K297" s="87"/>
      <c r="L297" s="87"/>
      <c r="M297" s="97"/>
      <c r="N297" s="87"/>
      <c r="O297" s="87"/>
      <c r="P297" s="87"/>
      <c r="Q297" s="87"/>
      <c r="R297" s="87"/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</row>
    <row r="298">
      <c r="A298" s="87"/>
      <c r="B298" s="87"/>
      <c r="C298" s="87"/>
      <c r="D298" s="87"/>
      <c r="E298" s="87"/>
      <c r="F298" s="87"/>
      <c r="G298" s="87"/>
      <c r="H298" s="87"/>
      <c r="I298" s="87"/>
      <c r="J298" s="87"/>
      <c r="K298" s="87"/>
      <c r="L298" s="87"/>
      <c r="M298" s="97"/>
      <c r="N298" s="87"/>
      <c r="O298" s="87"/>
      <c r="P298" s="87"/>
      <c r="Q298" s="87"/>
      <c r="R298" s="87"/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87"/>
    </row>
    <row r="299">
      <c r="A299" s="87"/>
      <c r="B299" s="87"/>
      <c r="C299" s="87"/>
      <c r="D299" s="87"/>
      <c r="E299" s="87"/>
      <c r="F299" s="87"/>
      <c r="G299" s="87"/>
      <c r="H299" s="87"/>
      <c r="I299" s="87"/>
      <c r="J299" s="87"/>
      <c r="K299" s="87"/>
      <c r="L299" s="87"/>
      <c r="M299" s="97"/>
      <c r="N299" s="87"/>
      <c r="O299" s="87"/>
      <c r="P299" s="87"/>
      <c r="Q299" s="87"/>
      <c r="R299" s="87"/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87"/>
    </row>
    <row r="300">
      <c r="A300" s="87"/>
      <c r="B300" s="87"/>
      <c r="C300" s="87"/>
      <c r="D300" s="87"/>
      <c r="E300" s="87"/>
      <c r="F300" s="87"/>
      <c r="G300" s="87"/>
      <c r="H300" s="87"/>
      <c r="I300" s="87"/>
      <c r="J300" s="87"/>
      <c r="K300" s="87"/>
      <c r="L300" s="87"/>
      <c r="M300" s="97"/>
      <c r="N300" s="87"/>
      <c r="O300" s="87"/>
      <c r="P300" s="87"/>
      <c r="Q300" s="87"/>
      <c r="R300" s="87"/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87"/>
    </row>
    <row r="301">
      <c r="A301" s="87"/>
      <c r="B301" s="87"/>
      <c r="C301" s="87"/>
      <c r="D301" s="87"/>
      <c r="E301" s="87"/>
      <c r="F301" s="87"/>
      <c r="G301" s="87"/>
      <c r="H301" s="87"/>
      <c r="I301" s="87"/>
      <c r="J301" s="87"/>
      <c r="K301" s="87"/>
      <c r="L301" s="87"/>
      <c r="M301" s="97"/>
      <c r="N301" s="87"/>
      <c r="O301" s="87"/>
      <c r="P301" s="87"/>
      <c r="Q301" s="87"/>
      <c r="R301" s="87"/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87"/>
    </row>
    <row r="302">
      <c r="A302" s="87"/>
      <c r="B302" s="87"/>
      <c r="C302" s="87"/>
      <c r="D302" s="87"/>
      <c r="E302" s="87"/>
      <c r="F302" s="87"/>
      <c r="G302" s="87"/>
      <c r="H302" s="87"/>
      <c r="I302" s="87"/>
      <c r="J302" s="87"/>
      <c r="K302" s="87"/>
      <c r="L302" s="87"/>
      <c r="M302" s="97"/>
      <c r="N302" s="87"/>
      <c r="O302" s="87"/>
      <c r="P302" s="87"/>
      <c r="Q302" s="87"/>
      <c r="R302" s="87"/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87"/>
    </row>
    <row r="303">
      <c r="A303" s="87"/>
      <c r="B303" s="87"/>
      <c r="C303" s="87"/>
      <c r="D303" s="87"/>
      <c r="E303" s="87"/>
      <c r="F303" s="87"/>
      <c r="G303" s="87"/>
      <c r="H303" s="87"/>
      <c r="I303" s="87"/>
      <c r="J303" s="87"/>
      <c r="K303" s="87"/>
      <c r="L303" s="87"/>
      <c r="M303" s="97"/>
      <c r="N303" s="87"/>
      <c r="O303" s="87"/>
      <c r="P303" s="87"/>
      <c r="Q303" s="87"/>
      <c r="R303" s="87"/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87"/>
    </row>
    <row r="304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9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87"/>
    </row>
    <row r="305">
      <c r="A305" s="87"/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  <c r="M305" s="97"/>
      <c r="N305" s="87"/>
      <c r="O305" s="87"/>
      <c r="P305" s="87"/>
      <c r="Q305" s="87"/>
      <c r="R305" s="87"/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87"/>
    </row>
    <row r="306">
      <c r="A306" s="87"/>
      <c r="B306" s="87"/>
      <c r="C306" s="87"/>
      <c r="D306" s="87"/>
      <c r="E306" s="87"/>
      <c r="F306" s="87"/>
      <c r="G306" s="87"/>
      <c r="H306" s="87"/>
      <c r="I306" s="87"/>
      <c r="J306" s="87"/>
      <c r="K306" s="87"/>
      <c r="L306" s="87"/>
      <c r="M306" s="97"/>
      <c r="N306" s="87"/>
      <c r="O306" s="87"/>
      <c r="P306" s="87"/>
      <c r="Q306" s="87"/>
      <c r="R306" s="87"/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87"/>
    </row>
    <row r="307">
      <c r="A307" s="87"/>
      <c r="B307" s="87"/>
      <c r="C307" s="87"/>
      <c r="D307" s="87"/>
      <c r="E307" s="87"/>
      <c r="F307" s="87"/>
      <c r="G307" s="87"/>
      <c r="H307" s="87"/>
      <c r="I307" s="87"/>
      <c r="J307" s="87"/>
      <c r="K307" s="87"/>
      <c r="L307" s="87"/>
      <c r="M307" s="97"/>
      <c r="N307" s="87"/>
      <c r="O307" s="87"/>
      <c r="P307" s="87"/>
      <c r="Q307" s="87"/>
      <c r="R307" s="87"/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87"/>
    </row>
    <row r="308">
      <c r="A308" s="87"/>
      <c r="B308" s="87"/>
      <c r="C308" s="87"/>
      <c r="D308" s="87"/>
      <c r="E308" s="87"/>
      <c r="F308" s="87"/>
      <c r="G308" s="87"/>
      <c r="H308" s="87"/>
      <c r="I308" s="87"/>
      <c r="J308" s="87"/>
      <c r="K308" s="87"/>
      <c r="L308" s="87"/>
      <c r="M308" s="97"/>
      <c r="N308" s="87"/>
      <c r="O308" s="87"/>
      <c r="P308" s="87"/>
      <c r="Q308" s="87"/>
      <c r="R308" s="87"/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87"/>
    </row>
    <row r="309">
      <c r="A309" s="87"/>
      <c r="B309" s="87"/>
      <c r="C309" s="87"/>
      <c r="D309" s="87"/>
      <c r="E309" s="87"/>
      <c r="F309" s="87"/>
      <c r="G309" s="87"/>
      <c r="H309" s="87"/>
      <c r="I309" s="87"/>
      <c r="J309" s="87"/>
      <c r="K309" s="87"/>
      <c r="L309" s="87"/>
      <c r="M309" s="9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</row>
    <row r="310">
      <c r="A310" s="87"/>
      <c r="B310" s="87"/>
      <c r="C310" s="87"/>
      <c r="D310" s="87"/>
      <c r="E310" s="87"/>
      <c r="F310" s="87"/>
      <c r="G310" s="87"/>
      <c r="H310" s="87"/>
      <c r="I310" s="87"/>
      <c r="J310" s="87"/>
      <c r="K310" s="87"/>
      <c r="L310" s="87"/>
      <c r="M310" s="97"/>
      <c r="N310" s="87"/>
      <c r="O310" s="87"/>
      <c r="P310" s="87"/>
      <c r="Q310" s="87"/>
      <c r="R310" s="87"/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87"/>
    </row>
    <row r="311">
      <c r="A311" s="87"/>
      <c r="B311" s="87"/>
      <c r="C311" s="87"/>
      <c r="D311" s="87"/>
      <c r="E311" s="87"/>
      <c r="F311" s="87"/>
      <c r="G311" s="87"/>
      <c r="H311" s="87"/>
      <c r="I311" s="87"/>
      <c r="J311" s="87"/>
      <c r="K311" s="87"/>
      <c r="L311" s="87"/>
      <c r="M311" s="97"/>
      <c r="N311" s="87"/>
      <c r="O311" s="87"/>
      <c r="P311" s="87"/>
      <c r="Q311" s="87"/>
      <c r="R311" s="87"/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87"/>
    </row>
    <row r="312">
      <c r="A312" s="87"/>
      <c r="B312" s="87"/>
      <c r="C312" s="87"/>
      <c r="D312" s="87"/>
      <c r="E312" s="87"/>
      <c r="F312" s="87"/>
      <c r="G312" s="87"/>
      <c r="H312" s="87"/>
      <c r="I312" s="87"/>
      <c r="J312" s="87"/>
      <c r="K312" s="87"/>
      <c r="L312" s="87"/>
      <c r="M312" s="97"/>
      <c r="N312" s="87"/>
      <c r="O312" s="87"/>
      <c r="P312" s="87"/>
      <c r="Q312" s="87"/>
      <c r="R312" s="87"/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87"/>
    </row>
    <row r="313">
      <c r="A313" s="87"/>
      <c r="B313" s="87"/>
      <c r="C313" s="87"/>
      <c r="D313" s="87"/>
      <c r="E313" s="87"/>
      <c r="F313" s="87"/>
      <c r="G313" s="87"/>
      <c r="H313" s="87"/>
      <c r="I313" s="87"/>
      <c r="J313" s="87"/>
      <c r="K313" s="87"/>
      <c r="L313" s="87"/>
      <c r="M313" s="97"/>
      <c r="N313" s="87"/>
      <c r="O313" s="87"/>
      <c r="P313" s="87"/>
      <c r="Q313" s="87"/>
      <c r="R313" s="87"/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87"/>
    </row>
    <row r="314">
      <c r="A314" s="87"/>
      <c r="B314" s="87"/>
      <c r="C314" s="87"/>
      <c r="D314" s="87"/>
      <c r="E314" s="87"/>
      <c r="F314" s="87"/>
      <c r="G314" s="87"/>
      <c r="H314" s="87"/>
      <c r="I314" s="87"/>
      <c r="J314" s="87"/>
      <c r="K314" s="87"/>
      <c r="L314" s="87"/>
      <c r="M314" s="97"/>
      <c r="N314" s="87"/>
      <c r="O314" s="87"/>
      <c r="P314" s="87"/>
      <c r="Q314" s="87"/>
      <c r="R314" s="87"/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87"/>
    </row>
    <row r="315">
      <c r="A315" s="87"/>
      <c r="B315" s="87"/>
      <c r="C315" s="87"/>
      <c r="D315" s="87"/>
      <c r="E315" s="87"/>
      <c r="F315" s="87"/>
      <c r="G315" s="87"/>
      <c r="H315" s="87"/>
      <c r="I315" s="87"/>
      <c r="J315" s="87"/>
      <c r="K315" s="87"/>
      <c r="L315" s="87"/>
      <c r="M315" s="97"/>
      <c r="N315" s="87"/>
      <c r="O315" s="87"/>
      <c r="P315" s="87"/>
      <c r="Q315" s="87"/>
      <c r="R315" s="87"/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87"/>
    </row>
    <row r="316">
      <c r="A316" s="87"/>
      <c r="B316" s="87"/>
      <c r="C316" s="87"/>
      <c r="D316" s="87"/>
      <c r="E316" s="87"/>
      <c r="F316" s="87"/>
      <c r="G316" s="87"/>
      <c r="H316" s="87"/>
      <c r="I316" s="87"/>
      <c r="J316" s="87"/>
      <c r="K316" s="87"/>
      <c r="L316" s="87"/>
      <c r="M316" s="97"/>
      <c r="N316" s="87"/>
      <c r="O316" s="87"/>
      <c r="P316" s="87"/>
      <c r="Q316" s="87"/>
      <c r="R316" s="87"/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87"/>
    </row>
    <row r="317">
      <c r="A317" s="87"/>
      <c r="B317" s="87"/>
      <c r="C317" s="87"/>
      <c r="D317" s="87"/>
      <c r="E317" s="87"/>
      <c r="F317" s="87"/>
      <c r="G317" s="87"/>
      <c r="H317" s="87"/>
      <c r="I317" s="87"/>
      <c r="J317" s="87"/>
      <c r="K317" s="87"/>
      <c r="L317" s="87"/>
      <c r="M317" s="97"/>
      <c r="N317" s="87"/>
      <c r="O317" s="87"/>
      <c r="P317" s="87"/>
      <c r="Q317" s="87"/>
      <c r="R317" s="87"/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87"/>
    </row>
    <row r="318">
      <c r="A318" s="87"/>
      <c r="B318" s="87"/>
      <c r="C318" s="87"/>
      <c r="D318" s="87"/>
      <c r="E318" s="87"/>
      <c r="F318" s="87"/>
      <c r="G318" s="87"/>
      <c r="H318" s="87"/>
      <c r="I318" s="87"/>
      <c r="J318" s="87"/>
      <c r="K318" s="87"/>
      <c r="L318" s="87"/>
      <c r="M318" s="97"/>
      <c r="N318" s="87"/>
      <c r="O318" s="87"/>
      <c r="P318" s="87"/>
      <c r="Q318" s="87"/>
      <c r="R318" s="87"/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87"/>
    </row>
    <row r="319">
      <c r="A319" s="87"/>
      <c r="B319" s="87"/>
      <c r="C319" s="87"/>
      <c r="D319" s="87"/>
      <c r="E319" s="87"/>
      <c r="F319" s="87"/>
      <c r="G319" s="87"/>
      <c r="H319" s="87"/>
      <c r="I319" s="87"/>
      <c r="J319" s="87"/>
      <c r="K319" s="87"/>
      <c r="L319" s="87"/>
      <c r="M319" s="9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</row>
    <row r="320">
      <c r="A320" s="87"/>
      <c r="B320" s="87"/>
      <c r="C320" s="87"/>
      <c r="D320" s="87"/>
      <c r="E320" s="87"/>
      <c r="F320" s="87"/>
      <c r="G320" s="87"/>
      <c r="H320" s="87"/>
      <c r="I320" s="87"/>
      <c r="J320" s="87"/>
      <c r="K320" s="87"/>
      <c r="L320" s="87"/>
      <c r="M320" s="9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</row>
    <row r="321">
      <c r="A321" s="87"/>
      <c r="B321" s="87"/>
      <c r="C321" s="87"/>
      <c r="D321" s="87"/>
      <c r="E321" s="87"/>
      <c r="F321" s="87"/>
      <c r="G321" s="87"/>
      <c r="H321" s="87"/>
      <c r="I321" s="87"/>
      <c r="J321" s="87"/>
      <c r="K321" s="87"/>
      <c r="L321" s="87"/>
      <c r="M321" s="97"/>
      <c r="N321" s="87"/>
      <c r="O321" s="87"/>
      <c r="P321" s="87"/>
      <c r="Q321" s="87"/>
      <c r="R321" s="87"/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87"/>
    </row>
    <row r="322">
      <c r="A322" s="87"/>
      <c r="B322" s="87"/>
      <c r="C322" s="87"/>
      <c r="D322" s="87"/>
      <c r="E322" s="87"/>
      <c r="F322" s="87"/>
      <c r="G322" s="87"/>
      <c r="H322" s="87"/>
      <c r="I322" s="87"/>
      <c r="J322" s="87"/>
      <c r="K322" s="87"/>
      <c r="L322" s="87"/>
      <c r="M322" s="97"/>
      <c r="N322" s="87"/>
      <c r="O322" s="87"/>
      <c r="P322" s="87"/>
      <c r="Q322" s="87"/>
      <c r="R322" s="87"/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87"/>
    </row>
    <row r="323">
      <c r="A323" s="87"/>
      <c r="B323" s="87"/>
      <c r="C323" s="87"/>
      <c r="D323" s="87"/>
      <c r="E323" s="87"/>
      <c r="F323" s="87"/>
      <c r="G323" s="87"/>
      <c r="H323" s="87"/>
      <c r="I323" s="87"/>
      <c r="J323" s="87"/>
      <c r="K323" s="87"/>
      <c r="L323" s="87"/>
      <c r="M323" s="97"/>
      <c r="N323" s="87"/>
      <c r="O323" s="87"/>
      <c r="P323" s="87"/>
      <c r="Q323" s="87"/>
      <c r="R323" s="87"/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87"/>
    </row>
    <row r="324">
      <c r="A324" s="87"/>
      <c r="B324" s="87"/>
      <c r="C324" s="87"/>
      <c r="D324" s="87"/>
      <c r="E324" s="87"/>
      <c r="F324" s="87"/>
      <c r="G324" s="87"/>
      <c r="H324" s="87"/>
      <c r="I324" s="87"/>
      <c r="J324" s="87"/>
      <c r="K324" s="87"/>
      <c r="L324" s="87"/>
      <c r="M324" s="97"/>
      <c r="N324" s="87"/>
      <c r="O324" s="87"/>
      <c r="P324" s="87"/>
      <c r="Q324" s="87"/>
      <c r="R324" s="87"/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87"/>
    </row>
    <row r="325">
      <c r="A325" s="87"/>
      <c r="B325" s="87"/>
      <c r="C325" s="87"/>
      <c r="D325" s="87"/>
      <c r="E325" s="87"/>
      <c r="F325" s="87"/>
      <c r="G325" s="87"/>
      <c r="H325" s="87"/>
      <c r="I325" s="87"/>
      <c r="J325" s="87"/>
      <c r="K325" s="87"/>
      <c r="L325" s="87"/>
      <c r="M325" s="97"/>
      <c r="N325" s="87"/>
      <c r="O325" s="87"/>
      <c r="P325" s="87"/>
      <c r="Q325" s="87"/>
      <c r="R325" s="87"/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87"/>
    </row>
    <row r="326">
      <c r="A326" s="87"/>
      <c r="B326" s="87"/>
      <c r="C326" s="87"/>
      <c r="D326" s="87"/>
      <c r="E326" s="87"/>
      <c r="F326" s="87"/>
      <c r="G326" s="87"/>
      <c r="H326" s="87"/>
      <c r="I326" s="87"/>
      <c r="J326" s="87"/>
      <c r="K326" s="87"/>
      <c r="L326" s="87"/>
      <c r="M326" s="97"/>
      <c r="N326" s="87"/>
      <c r="O326" s="87"/>
      <c r="P326" s="87"/>
      <c r="Q326" s="87"/>
      <c r="R326" s="87"/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87"/>
    </row>
    <row r="327">
      <c r="A327" s="87"/>
      <c r="B327" s="87"/>
      <c r="C327" s="87"/>
      <c r="D327" s="87"/>
      <c r="E327" s="87"/>
      <c r="F327" s="87"/>
      <c r="G327" s="87"/>
      <c r="H327" s="87"/>
      <c r="I327" s="87"/>
      <c r="J327" s="87"/>
      <c r="K327" s="87"/>
      <c r="L327" s="87"/>
      <c r="M327" s="9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87"/>
    </row>
    <row r="328">
      <c r="A328" s="87"/>
      <c r="B328" s="87"/>
      <c r="C328" s="87"/>
      <c r="D328" s="87"/>
      <c r="E328" s="87"/>
      <c r="F328" s="87"/>
      <c r="G328" s="87"/>
      <c r="H328" s="87"/>
      <c r="I328" s="87"/>
      <c r="J328" s="87"/>
      <c r="K328" s="87"/>
      <c r="L328" s="87"/>
      <c r="M328" s="97"/>
      <c r="N328" s="87"/>
      <c r="O328" s="87"/>
      <c r="P328" s="87"/>
      <c r="Q328" s="87"/>
      <c r="R328" s="87"/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87"/>
    </row>
    <row r="329">
      <c r="A329" s="87"/>
      <c r="B329" s="87"/>
      <c r="C329" s="87"/>
      <c r="D329" s="87"/>
      <c r="E329" s="87"/>
      <c r="F329" s="87"/>
      <c r="G329" s="87"/>
      <c r="H329" s="87"/>
      <c r="I329" s="87"/>
      <c r="J329" s="87"/>
      <c r="K329" s="87"/>
      <c r="L329" s="87"/>
      <c r="M329" s="97"/>
      <c r="N329" s="87"/>
      <c r="O329" s="87"/>
      <c r="P329" s="87"/>
      <c r="Q329" s="87"/>
      <c r="R329" s="87"/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87"/>
    </row>
    <row r="330">
      <c r="A330" s="87"/>
      <c r="B330" s="87"/>
      <c r="C330" s="87"/>
      <c r="D330" s="87"/>
      <c r="E330" s="87"/>
      <c r="F330" s="87"/>
      <c r="G330" s="87"/>
      <c r="H330" s="87"/>
      <c r="I330" s="87"/>
      <c r="J330" s="87"/>
      <c r="K330" s="87"/>
      <c r="L330" s="87"/>
      <c r="M330" s="97"/>
      <c r="N330" s="87"/>
      <c r="O330" s="87"/>
      <c r="P330" s="87"/>
      <c r="Q330" s="87"/>
      <c r="R330" s="87"/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87"/>
    </row>
    <row r="331">
      <c r="A331" s="87"/>
      <c r="B331" s="87"/>
      <c r="C331" s="87"/>
      <c r="D331" s="87"/>
      <c r="E331" s="87"/>
      <c r="F331" s="87"/>
      <c r="G331" s="87"/>
      <c r="H331" s="87"/>
      <c r="I331" s="87"/>
      <c r="J331" s="87"/>
      <c r="K331" s="87"/>
      <c r="L331" s="87"/>
      <c r="M331" s="97"/>
      <c r="N331" s="87"/>
      <c r="O331" s="87"/>
      <c r="P331" s="87"/>
      <c r="Q331" s="87"/>
      <c r="R331" s="87"/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87"/>
    </row>
    <row r="332">
      <c r="A332" s="87"/>
      <c r="B332" s="87"/>
      <c r="C332" s="87"/>
      <c r="D332" s="87"/>
      <c r="E332" s="87"/>
      <c r="F332" s="87"/>
      <c r="G332" s="87"/>
      <c r="H332" s="87"/>
      <c r="I332" s="87"/>
      <c r="J332" s="87"/>
      <c r="K332" s="87"/>
      <c r="L332" s="87"/>
      <c r="M332" s="97"/>
      <c r="N332" s="87"/>
      <c r="O332" s="87"/>
      <c r="P332" s="87"/>
      <c r="Q332" s="87"/>
      <c r="R332" s="87"/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87"/>
    </row>
    <row r="333">
      <c r="A333" s="87"/>
      <c r="B333" s="87"/>
      <c r="C333" s="87"/>
      <c r="D333" s="87"/>
      <c r="E333" s="87"/>
      <c r="F333" s="87"/>
      <c r="G333" s="87"/>
      <c r="H333" s="87"/>
      <c r="I333" s="87"/>
      <c r="J333" s="87"/>
      <c r="K333" s="87"/>
      <c r="L333" s="87"/>
      <c r="M333" s="97"/>
      <c r="N333" s="87"/>
      <c r="O333" s="87"/>
      <c r="P333" s="87"/>
      <c r="Q333" s="87"/>
      <c r="R333" s="87"/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87"/>
    </row>
    <row r="334">
      <c r="A334" s="87"/>
      <c r="B334" s="87"/>
      <c r="C334" s="87"/>
      <c r="D334" s="87"/>
      <c r="E334" s="87"/>
      <c r="F334" s="87"/>
      <c r="G334" s="87"/>
      <c r="H334" s="87"/>
      <c r="I334" s="87"/>
      <c r="J334" s="87"/>
      <c r="K334" s="87"/>
      <c r="L334" s="87"/>
      <c r="M334" s="9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87"/>
    </row>
    <row r="335">
      <c r="A335" s="87"/>
      <c r="B335" s="87"/>
      <c r="C335" s="87"/>
      <c r="D335" s="87"/>
      <c r="E335" s="87"/>
      <c r="F335" s="87"/>
      <c r="G335" s="87"/>
      <c r="H335" s="87"/>
      <c r="I335" s="87"/>
      <c r="J335" s="87"/>
      <c r="K335" s="87"/>
      <c r="L335" s="87"/>
      <c r="M335" s="97"/>
      <c r="N335" s="87"/>
      <c r="O335" s="87"/>
      <c r="P335" s="87"/>
      <c r="Q335" s="87"/>
      <c r="R335" s="87"/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87"/>
    </row>
    <row r="336">
      <c r="A336" s="87"/>
      <c r="B336" s="87"/>
      <c r="C336" s="87"/>
      <c r="D336" s="87"/>
      <c r="E336" s="87"/>
      <c r="F336" s="87"/>
      <c r="G336" s="87"/>
      <c r="H336" s="87"/>
      <c r="I336" s="87"/>
      <c r="J336" s="87"/>
      <c r="K336" s="87"/>
      <c r="L336" s="87"/>
      <c r="M336" s="97"/>
      <c r="N336" s="87"/>
      <c r="O336" s="87"/>
      <c r="P336" s="87"/>
      <c r="Q336" s="87"/>
      <c r="R336" s="87"/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87"/>
    </row>
    <row r="337">
      <c r="A337" s="87"/>
      <c r="B337" s="87"/>
      <c r="C337" s="87"/>
      <c r="D337" s="87"/>
      <c r="E337" s="87"/>
      <c r="F337" s="87"/>
      <c r="G337" s="87"/>
      <c r="H337" s="87"/>
      <c r="I337" s="87"/>
      <c r="J337" s="87"/>
      <c r="K337" s="87"/>
      <c r="L337" s="87"/>
      <c r="M337" s="97"/>
      <c r="N337" s="87"/>
      <c r="O337" s="87"/>
      <c r="P337" s="87"/>
      <c r="Q337" s="87"/>
      <c r="R337" s="87"/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87"/>
    </row>
    <row r="338">
      <c r="A338" s="87"/>
      <c r="B338" s="87"/>
      <c r="C338" s="87"/>
      <c r="D338" s="87"/>
      <c r="E338" s="87"/>
      <c r="F338" s="87"/>
      <c r="G338" s="87"/>
      <c r="H338" s="87"/>
      <c r="I338" s="87"/>
      <c r="J338" s="87"/>
      <c r="K338" s="87"/>
      <c r="L338" s="87"/>
      <c r="M338" s="9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</row>
    <row r="339">
      <c r="A339" s="87"/>
      <c r="B339" s="87"/>
      <c r="C339" s="87"/>
      <c r="D339" s="87"/>
      <c r="E339" s="87"/>
      <c r="F339" s="87"/>
      <c r="G339" s="87"/>
      <c r="H339" s="87"/>
      <c r="I339" s="87"/>
      <c r="J339" s="87"/>
      <c r="K339" s="87"/>
      <c r="L339" s="87"/>
      <c r="M339" s="97"/>
      <c r="N339" s="87"/>
      <c r="O339" s="87"/>
      <c r="P339" s="87"/>
      <c r="Q339" s="87"/>
      <c r="R339" s="87"/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87"/>
    </row>
    <row r="340">
      <c r="A340" s="87"/>
      <c r="B340" s="87"/>
      <c r="C340" s="87"/>
      <c r="D340" s="87"/>
      <c r="E340" s="87"/>
      <c r="F340" s="87"/>
      <c r="G340" s="87"/>
      <c r="H340" s="87"/>
      <c r="I340" s="87"/>
      <c r="J340" s="87"/>
      <c r="K340" s="87"/>
      <c r="L340" s="87"/>
      <c r="M340" s="97"/>
      <c r="N340" s="87"/>
      <c r="O340" s="87"/>
      <c r="P340" s="87"/>
      <c r="Q340" s="87"/>
      <c r="R340" s="87"/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87"/>
    </row>
    <row r="341">
      <c r="A341" s="87"/>
      <c r="B341" s="87"/>
      <c r="C341" s="87"/>
      <c r="D341" s="87"/>
      <c r="E341" s="87"/>
      <c r="F341" s="87"/>
      <c r="G341" s="87"/>
      <c r="H341" s="87"/>
      <c r="I341" s="87"/>
      <c r="J341" s="87"/>
      <c r="K341" s="87"/>
      <c r="L341" s="87"/>
      <c r="M341" s="97"/>
      <c r="N341" s="87"/>
      <c r="O341" s="87"/>
      <c r="P341" s="87"/>
      <c r="Q341" s="87"/>
      <c r="R341" s="87"/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87"/>
    </row>
    <row r="342">
      <c r="A342" s="87"/>
      <c r="B342" s="87"/>
      <c r="C342" s="87"/>
      <c r="D342" s="87"/>
      <c r="E342" s="87"/>
      <c r="F342" s="87"/>
      <c r="G342" s="87"/>
      <c r="H342" s="87"/>
      <c r="I342" s="87"/>
      <c r="J342" s="87"/>
      <c r="K342" s="87"/>
      <c r="L342" s="87"/>
      <c r="M342" s="97"/>
      <c r="N342" s="87"/>
      <c r="O342" s="87"/>
      <c r="P342" s="87"/>
      <c r="Q342" s="87"/>
      <c r="R342" s="87"/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87"/>
    </row>
    <row r="343">
      <c r="A343" s="87"/>
      <c r="B343" s="87"/>
      <c r="C343" s="87"/>
      <c r="D343" s="87"/>
      <c r="E343" s="87"/>
      <c r="F343" s="87"/>
      <c r="G343" s="87"/>
      <c r="H343" s="87"/>
      <c r="I343" s="87"/>
      <c r="J343" s="87"/>
      <c r="K343" s="87"/>
      <c r="L343" s="87"/>
      <c r="M343" s="97"/>
      <c r="N343" s="87"/>
      <c r="O343" s="87"/>
      <c r="P343" s="87"/>
      <c r="Q343" s="87"/>
      <c r="R343" s="87"/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87"/>
    </row>
    <row r="344">
      <c r="A344" s="87"/>
      <c r="B344" s="87"/>
      <c r="C344" s="87"/>
      <c r="D344" s="87"/>
      <c r="E344" s="87"/>
      <c r="F344" s="87"/>
      <c r="G344" s="87"/>
      <c r="H344" s="87"/>
      <c r="I344" s="87"/>
      <c r="J344" s="87"/>
      <c r="K344" s="87"/>
      <c r="L344" s="87"/>
      <c r="M344" s="97"/>
      <c r="N344" s="87"/>
      <c r="O344" s="87"/>
      <c r="P344" s="87"/>
      <c r="Q344" s="87"/>
      <c r="R344" s="87"/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87"/>
    </row>
    <row r="345">
      <c r="A345" s="87"/>
      <c r="B345" s="87"/>
      <c r="C345" s="87"/>
      <c r="D345" s="87"/>
      <c r="E345" s="87"/>
      <c r="F345" s="87"/>
      <c r="G345" s="87"/>
      <c r="H345" s="87"/>
      <c r="I345" s="87"/>
      <c r="J345" s="87"/>
      <c r="K345" s="87"/>
      <c r="L345" s="87"/>
      <c r="M345" s="97"/>
      <c r="N345" s="87"/>
      <c r="O345" s="87"/>
      <c r="P345" s="87"/>
      <c r="Q345" s="87"/>
      <c r="R345" s="87"/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87"/>
    </row>
    <row r="346">
      <c r="A346" s="87"/>
      <c r="B346" s="87"/>
      <c r="C346" s="87"/>
      <c r="D346" s="87"/>
      <c r="E346" s="87"/>
      <c r="F346" s="87"/>
      <c r="G346" s="87"/>
      <c r="H346" s="87"/>
      <c r="I346" s="87"/>
      <c r="J346" s="87"/>
      <c r="K346" s="87"/>
      <c r="L346" s="87"/>
      <c r="M346" s="97"/>
      <c r="N346" s="87"/>
      <c r="O346" s="87"/>
      <c r="P346" s="87"/>
      <c r="Q346" s="87"/>
      <c r="R346" s="87"/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87"/>
    </row>
    <row r="347">
      <c r="A347" s="87"/>
      <c r="B347" s="87"/>
      <c r="C347" s="87"/>
      <c r="D347" s="87"/>
      <c r="E347" s="87"/>
      <c r="F347" s="87"/>
      <c r="G347" s="87"/>
      <c r="H347" s="87"/>
      <c r="I347" s="87"/>
      <c r="J347" s="87"/>
      <c r="K347" s="87"/>
      <c r="L347" s="87"/>
      <c r="M347" s="97"/>
      <c r="N347" s="87"/>
      <c r="O347" s="87"/>
      <c r="P347" s="87"/>
      <c r="Q347" s="87"/>
      <c r="R347" s="87"/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87"/>
    </row>
    <row r="348">
      <c r="A348" s="87"/>
      <c r="B348" s="87"/>
      <c r="C348" s="87"/>
      <c r="D348" s="87"/>
      <c r="E348" s="87"/>
      <c r="F348" s="87"/>
      <c r="G348" s="87"/>
      <c r="H348" s="87"/>
      <c r="I348" s="87"/>
      <c r="J348" s="87"/>
      <c r="K348" s="87"/>
      <c r="L348" s="87"/>
      <c r="M348" s="97"/>
      <c r="N348" s="87"/>
      <c r="O348" s="87"/>
      <c r="P348" s="87"/>
      <c r="Q348" s="87"/>
      <c r="R348" s="87"/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87"/>
    </row>
    <row r="349">
      <c r="A349" s="87"/>
      <c r="B349" s="87"/>
      <c r="C349" s="87"/>
      <c r="D349" s="87"/>
      <c r="E349" s="87"/>
      <c r="F349" s="87"/>
      <c r="G349" s="87"/>
      <c r="H349" s="87"/>
      <c r="I349" s="87"/>
      <c r="J349" s="87"/>
      <c r="K349" s="87"/>
      <c r="L349" s="87"/>
      <c r="M349" s="97"/>
      <c r="N349" s="87"/>
      <c r="O349" s="87"/>
      <c r="P349" s="87"/>
      <c r="Q349" s="87"/>
      <c r="R349" s="87"/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87"/>
    </row>
    <row r="350">
      <c r="A350" s="87"/>
      <c r="B350" s="87"/>
      <c r="C350" s="87"/>
      <c r="D350" s="87"/>
      <c r="E350" s="87"/>
      <c r="F350" s="87"/>
      <c r="G350" s="87"/>
      <c r="H350" s="87"/>
      <c r="I350" s="87"/>
      <c r="J350" s="87"/>
      <c r="K350" s="87"/>
      <c r="L350" s="87"/>
      <c r="M350" s="97"/>
      <c r="N350" s="87"/>
      <c r="O350" s="87"/>
      <c r="P350" s="87"/>
      <c r="Q350" s="87"/>
      <c r="R350" s="87"/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87"/>
    </row>
    <row r="351">
      <c r="A351" s="87"/>
      <c r="B351" s="87"/>
      <c r="C351" s="87"/>
      <c r="D351" s="87"/>
      <c r="E351" s="87"/>
      <c r="F351" s="87"/>
      <c r="G351" s="87"/>
      <c r="H351" s="87"/>
      <c r="I351" s="87"/>
      <c r="J351" s="87"/>
      <c r="K351" s="87"/>
      <c r="L351" s="87"/>
      <c r="M351" s="97"/>
      <c r="N351" s="87"/>
      <c r="O351" s="87"/>
      <c r="P351" s="87"/>
      <c r="Q351" s="87"/>
      <c r="R351" s="87"/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87"/>
    </row>
    <row r="352">
      <c r="A352" s="87"/>
      <c r="B352" s="87"/>
      <c r="C352" s="87"/>
      <c r="D352" s="87"/>
      <c r="E352" s="87"/>
      <c r="F352" s="87"/>
      <c r="G352" s="87"/>
      <c r="H352" s="87"/>
      <c r="I352" s="87"/>
      <c r="J352" s="87"/>
      <c r="K352" s="87"/>
      <c r="L352" s="87"/>
      <c r="M352" s="97"/>
      <c r="N352" s="87"/>
      <c r="O352" s="87"/>
      <c r="P352" s="87"/>
      <c r="Q352" s="87"/>
      <c r="R352" s="87"/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87"/>
    </row>
    <row r="353">
      <c r="A353" s="87"/>
      <c r="B353" s="87"/>
      <c r="C353" s="87"/>
      <c r="D353" s="87"/>
      <c r="E353" s="87"/>
      <c r="F353" s="87"/>
      <c r="G353" s="87"/>
      <c r="H353" s="87"/>
      <c r="I353" s="87"/>
      <c r="J353" s="87"/>
      <c r="K353" s="87"/>
      <c r="L353" s="87"/>
      <c r="M353" s="97"/>
      <c r="N353" s="87"/>
      <c r="O353" s="87"/>
      <c r="P353" s="87"/>
      <c r="Q353" s="87"/>
      <c r="R353" s="87"/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87"/>
    </row>
    <row r="354">
      <c r="A354" s="87"/>
      <c r="B354" s="87"/>
      <c r="C354" s="87"/>
      <c r="D354" s="87"/>
      <c r="E354" s="87"/>
      <c r="F354" s="87"/>
      <c r="G354" s="87"/>
      <c r="H354" s="87"/>
      <c r="I354" s="87"/>
      <c r="J354" s="87"/>
      <c r="K354" s="87"/>
      <c r="L354" s="87"/>
      <c r="M354" s="97"/>
      <c r="N354" s="87"/>
      <c r="O354" s="87"/>
      <c r="P354" s="87"/>
      <c r="Q354" s="87"/>
      <c r="R354" s="87"/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87"/>
    </row>
    <row r="355">
      <c r="A355" s="87"/>
      <c r="B355" s="87"/>
      <c r="C355" s="87"/>
      <c r="D355" s="87"/>
      <c r="E355" s="87"/>
      <c r="F355" s="87"/>
      <c r="G355" s="87"/>
      <c r="H355" s="87"/>
      <c r="I355" s="87"/>
      <c r="J355" s="87"/>
      <c r="K355" s="87"/>
      <c r="L355" s="87"/>
      <c r="M355" s="97"/>
      <c r="N355" s="87"/>
      <c r="O355" s="87"/>
      <c r="P355" s="87"/>
      <c r="Q355" s="87"/>
      <c r="R355" s="87"/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87"/>
    </row>
    <row r="356">
      <c r="A356" s="87"/>
      <c r="B356" s="87"/>
      <c r="C356" s="87"/>
      <c r="D356" s="87"/>
      <c r="E356" s="87"/>
      <c r="F356" s="87"/>
      <c r="G356" s="87"/>
      <c r="H356" s="87"/>
      <c r="I356" s="87"/>
      <c r="J356" s="87"/>
      <c r="K356" s="87"/>
      <c r="L356" s="87"/>
      <c r="M356" s="9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</row>
    <row r="357">
      <c r="A357" s="87"/>
      <c r="B357" s="87"/>
      <c r="C357" s="87"/>
      <c r="D357" s="87"/>
      <c r="E357" s="87"/>
      <c r="F357" s="87"/>
      <c r="G357" s="87"/>
      <c r="H357" s="87"/>
      <c r="I357" s="87"/>
      <c r="J357" s="87"/>
      <c r="K357" s="87"/>
      <c r="L357" s="87"/>
      <c r="M357" s="9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</row>
    <row r="358">
      <c r="A358" s="87"/>
      <c r="B358" s="87"/>
      <c r="C358" s="87"/>
      <c r="D358" s="87"/>
      <c r="E358" s="87"/>
      <c r="F358" s="87"/>
      <c r="G358" s="87"/>
      <c r="H358" s="87"/>
      <c r="I358" s="87"/>
      <c r="J358" s="87"/>
      <c r="K358" s="87"/>
      <c r="L358" s="87"/>
      <c r="M358" s="97"/>
      <c r="N358" s="87"/>
      <c r="O358" s="87"/>
      <c r="P358" s="87"/>
      <c r="Q358" s="87"/>
      <c r="R358" s="87"/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87"/>
    </row>
    <row r="359">
      <c r="A359" s="87"/>
      <c r="B359" s="87"/>
      <c r="C359" s="87"/>
      <c r="D359" s="87"/>
      <c r="E359" s="87"/>
      <c r="F359" s="87"/>
      <c r="G359" s="87"/>
      <c r="H359" s="87"/>
      <c r="I359" s="87"/>
      <c r="J359" s="87"/>
      <c r="K359" s="87"/>
      <c r="L359" s="87"/>
      <c r="M359" s="97"/>
      <c r="N359" s="87"/>
      <c r="O359" s="87"/>
      <c r="P359" s="87"/>
      <c r="Q359" s="87"/>
      <c r="R359" s="87"/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87"/>
    </row>
    <row r="360">
      <c r="A360" s="87"/>
      <c r="B360" s="87"/>
      <c r="C360" s="87"/>
      <c r="D360" s="87"/>
      <c r="E360" s="87"/>
      <c r="F360" s="87"/>
      <c r="G360" s="87"/>
      <c r="H360" s="87"/>
      <c r="I360" s="87"/>
      <c r="J360" s="87"/>
      <c r="K360" s="87"/>
      <c r="L360" s="87"/>
      <c r="M360" s="97"/>
      <c r="N360" s="87"/>
      <c r="O360" s="87"/>
      <c r="P360" s="87"/>
      <c r="Q360" s="87"/>
      <c r="R360" s="87"/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87"/>
    </row>
    <row r="361">
      <c r="A361" s="87"/>
      <c r="B361" s="87"/>
      <c r="C361" s="87"/>
      <c r="D361" s="87"/>
      <c r="E361" s="87"/>
      <c r="F361" s="87"/>
      <c r="G361" s="87"/>
      <c r="H361" s="87"/>
      <c r="I361" s="87"/>
      <c r="J361" s="87"/>
      <c r="K361" s="87"/>
      <c r="L361" s="87"/>
      <c r="M361" s="97"/>
      <c r="N361" s="87"/>
      <c r="O361" s="87"/>
      <c r="P361" s="87"/>
      <c r="Q361" s="87"/>
      <c r="R361" s="87"/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87"/>
    </row>
    <row r="362">
      <c r="A362" s="87"/>
      <c r="B362" s="87"/>
      <c r="C362" s="87"/>
      <c r="D362" s="87"/>
      <c r="E362" s="87"/>
      <c r="F362" s="87"/>
      <c r="G362" s="87"/>
      <c r="H362" s="87"/>
      <c r="I362" s="87"/>
      <c r="J362" s="87"/>
      <c r="K362" s="87"/>
      <c r="L362" s="87"/>
      <c r="M362" s="97"/>
      <c r="N362" s="87"/>
      <c r="O362" s="87"/>
      <c r="P362" s="87"/>
      <c r="Q362" s="87"/>
      <c r="R362" s="87"/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87"/>
    </row>
    <row r="363">
      <c r="A363" s="87"/>
      <c r="B363" s="87"/>
      <c r="C363" s="87"/>
      <c r="D363" s="87"/>
      <c r="E363" s="87"/>
      <c r="F363" s="87"/>
      <c r="G363" s="87"/>
      <c r="H363" s="87"/>
      <c r="I363" s="87"/>
      <c r="J363" s="87"/>
      <c r="K363" s="87"/>
      <c r="L363" s="87"/>
      <c r="M363" s="9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87"/>
    </row>
    <row r="364">
      <c r="A364" s="87"/>
      <c r="B364" s="87"/>
      <c r="C364" s="87"/>
      <c r="D364" s="87"/>
      <c r="E364" s="87"/>
      <c r="F364" s="87"/>
      <c r="G364" s="87"/>
      <c r="H364" s="87"/>
      <c r="I364" s="87"/>
      <c r="J364" s="87"/>
      <c r="K364" s="87"/>
      <c r="L364" s="87"/>
      <c r="M364" s="9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</row>
    <row r="365">
      <c r="A365" s="87"/>
      <c r="B365" s="87"/>
      <c r="C365" s="87"/>
      <c r="D365" s="87"/>
      <c r="E365" s="87"/>
      <c r="F365" s="87"/>
      <c r="G365" s="87"/>
      <c r="H365" s="87"/>
      <c r="I365" s="87"/>
      <c r="J365" s="87"/>
      <c r="K365" s="87"/>
      <c r="L365" s="87"/>
      <c r="M365" s="97"/>
      <c r="N365" s="87"/>
      <c r="O365" s="87"/>
      <c r="P365" s="87"/>
      <c r="Q365" s="87"/>
      <c r="R365" s="87"/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87"/>
    </row>
    <row r="366">
      <c r="A366" s="87"/>
      <c r="B366" s="87"/>
      <c r="C366" s="87"/>
      <c r="D366" s="87"/>
      <c r="E366" s="87"/>
      <c r="F366" s="87"/>
      <c r="G366" s="87"/>
      <c r="H366" s="87"/>
      <c r="I366" s="87"/>
      <c r="J366" s="87"/>
      <c r="K366" s="87"/>
      <c r="L366" s="87"/>
      <c r="M366" s="97"/>
      <c r="N366" s="87"/>
      <c r="O366" s="87"/>
      <c r="P366" s="87"/>
      <c r="Q366" s="87"/>
      <c r="R366" s="87"/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87"/>
    </row>
    <row r="367">
      <c r="A367" s="87"/>
      <c r="B367" s="87"/>
      <c r="C367" s="87"/>
      <c r="D367" s="87"/>
      <c r="E367" s="87"/>
      <c r="F367" s="87"/>
      <c r="G367" s="87"/>
      <c r="H367" s="87"/>
      <c r="I367" s="87"/>
      <c r="J367" s="87"/>
      <c r="K367" s="87"/>
      <c r="L367" s="87"/>
      <c r="M367" s="97"/>
      <c r="N367" s="87"/>
      <c r="O367" s="87"/>
      <c r="P367" s="87"/>
      <c r="Q367" s="87"/>
      <c r="R367" s="87"/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87"/>
    </row>
    <row r="368">
      <c r="A368" s="87"/>
      <c r="B368" s="87"/>
      <c r="C368" s="87"/>
      <c r="D368" s="87"/>
      <c r="E368" s="87"/>
      <c r="F368" s="87"/>
      <c r="G368" s="87"/>
      <c r="H368" s="87"/>
      <c r="I368" s="87"/>
      <c r="J368" s="87"/>
      <c r="K368" s="87"/>
      <c r="L368" s="87"/>
      <c r="M368" s="97"/>
      <c r="N368" s="87"/>
      <c r="O368" s="87"/>
      <c r="P368" s="87"/>
      <c r="Q368" s="87"/>
      <c r="R368" s="87"/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87"/>
    </row>
    <row r="369">
      <c r="A369" s="87"/>
      <c r="B369" s="87"/>
      <c r="C369" s="87"/>
      <c r="D369" s="87"/>
      <c r="E369" s="87"/>
      <c r="F369" s="87"/>
      <c r="G369" s="87"/>
      <c r="H369" s="87"/>
      <c r="I369" s="87"/>
      <c r="J369" s="87"/>
      <c r="K369" s="87"/>
      <c r="L369" s="87"/>
      <c r="M369" s="97"/>
      <c r="N369" s="87"/>
      <c r="O369" s="87"/>
      <c r="P369" s="87"/>
      <c r="Q369" s="87"/>
      <c r="R369" s="87"/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87"/>
    </row>
    <row r="370">
      <c r="A370" s="87"/>
      <c r="B370" s="87"/>
      <c r="C370" s="87"/>
      <c r="D370" s="87"/>
      <c r="E370" s="87"/>
      <c r="F370" s="87"/>
      <c r="G370" s="87"/>
      <c r="H370" s="87"/>
      <c r="I370" s="87"/>
      <c r="J370" s="87"/>
      <c r="K370" s="87"/>
      <c r="L370" s="87"/>
      <c r="M370" s="97"/>
      <c r="N370" s="87"/>
      <c r="O370" s="87"/>
      <c r="P370" s="87"/>
      <c r="Q370" s="87"/>
      <c r="R370" s="87"/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87"/>
    </row>
    <row r="371">
      <c r="A371" s="87"/>
      <c r="B371" s="87"/>
      <c r="C371" s="87"/>
      <c r="D371" s="87"/>
      <c r="E371" s="87"/>
      <c r="F371" s="87"/>
      <c r="G371" s="87"/>
      <c r="H371" s="87"/>
      <c r="I371" s="87"/>
      <c r="J371" s="87"/>
      <c r="K371" s="87"/>
      <c r="L371" s="87"/>
      <c r="M371" s="97"/>
      <c r="N371" s="87"/>
      <c r="O371" s="87"/>
      <c r="P371" s="87"/>
      <c r="Q371" s="87"/>
      <c r="R371" s="87"/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87"/>
    </row>
    <row r="372">
      <c r="A372" s="87"/>
      <c r="B372" s="87"/>
      <c r="C372" s="87"/>
      <c r="D372" s="87"/>
      <c r="E372" s="87"/>
      <c r="F372" s="87"/>
      <c r="G372" s="87"/>
      <c r="H372" s="87"/>
      <c r="I372" s="87"/>
      <c r="J372" s="87"/>
      <c r="K372" s="87"/>
      <c r="L372" s="87"/>
      <c r="M372" s="97"/>
      <c r="N372" s="87"/>
      <c r="O372" s="87"/>
      <c r="P372" s="87"/>
      <c r="Q372" s="87"/>
      <c r="R372" s="87"/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87"/>
    </row>
    <row r="373">
      <c r="A373" s="87"/>
      <c r="B373" s="87"/>
      <c r="C373" s="87"/>
      <c r="D373" s="87"/>
      <c r="E373" s="87"/>
      <c r="F373" s="87"/>
      <c r="G373" s="87"/>
      <c r="H373" s="87"/>
      <c r="I373" s="87"/>
      <c r="J373" s="87"/>
      <c r="K373" s="87"/>
      <c r="L373" s="87"/>
      <c r="M373" s="97"/>
      <c r="N373" s="87"/>
      <c r="O373" s="87"/>
      <c r="P373" s="87"/>
      <c r="Q373" s="87"/>
      <c r="R373" s="87"/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87"/>
    </row>
    <row r="374">
      <c r="A374" s="87"/>
      <c r="B374" s="87"/>
      <c r="C374" s="87"/>
      <c r="D374" s="87"/>
      <c r="E374" s="87"/>
      <c r="F374" s="87"/>
      <c r="G374" s="87"/>
      <c r="H374" s="87"/>
      <c r="I374" s="87"/>
      <c r="J374" s="87"/>
      <c r="K374" s="87"/>
      <c r="L374" s="87"/>
      <c r="M374" s="97"/>
      <c r="N374" s="87"/>
      <c r="O374" s="87"/>
      <c r="P374" s="87"/>
      <c r="Q374" s="87"/>
      <c r="R374" s="87"/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87"/>
    </row>
    <row r="375">
      <c r="A375" s="87"/>
      <c r="B375" s="87"/>
      <c r="C375" s="87"/>
      <c r="D375" s="87"/>
      <c r="E375" s="87"/>
      <c r="F375" s="87"/>
      <c r="G375" s="87"/>
      <c r="H375" s="87"/>
      <c r="I375" s="87"/>
      <c r="J375" s="87"/>
      <c r="K375" s="87"/>
      <c r="L375" s="87"/>
      <c r="M375" s="97"/>
      <c r="N375" s="87"/>
      <c r="O375" s="87"/>
      <c r="P375" s="87"/>
      <c r="Q375" s="87"/>
      <c r="R375" s="87"/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87"/>
    </row>
    <row r="376">
      <c r="A376" s="87"/>
      <c r="B376" s="87"/>
      <c r="C376" s="87"/>
      <c r="D376" s="87"/>
      <c r="E376" s="87"/>
      <c r="F376" s="87"/>
      <c r="G376" s="87"/>
      <c r="H376" s="87"/>
      <c r="I376" s="87"/>
      <c r="J376" s="87"/>
      <c r="K376" s="87"/>
      <c r="L376" s="87"/>
      <c r="M376" s="97"/>
      <c r="N376" s="87"/>
      <c r="O376" s="87"/>
      <c r="P376" s="87"/>
      <c r="Q376" s="87"/>
      <c r="R376" s="87"/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87"/>
    </row>
    <row r="377">
      <c r="A377" s="87"/>
      <c r="B377" s="87"/>
      <c r="C377" s="87"/>
      <c r="D377" s="87"/>
      <c r="E377" s="87"/>
      <c r="F377" s="87"/>
      <c r="G377" s="87"/>
      <c r="H377" s="87"/>
      <c r="I377" s="87"/>
      <c r="J377" s="87"/>
      <c r="K377" s="87"/>
      <c r="L377" s="87"/>
      <c r="M377" s="97"/>
      <c r="N377" s="87"/>
      <c r="O377" s="87"/>
      <c r="P377" s="87"/>
      <c r="Q377" s="87"/>
      <c r="R377" s="87"/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87"/>
    </row>
    <row r="378">
      <c r="A378" s="87"/>
      <c r="B378" s="87"/>
      <c r="C378" s="87"/>
      <c r="D378" s="87"/>
      <c r="E378" s="87"/>
      <c r="F378" s="87"/>
      <c r="G378" s="87"/>
      <c r="H378" s="87"/>
      <c r="I378" s="87"/>
      <c r="J378" s="87"/>
      <c r="K378" s="87"/>
      <c r="L378" s="87"/>
      <c r="M378" s="97"/>
      <c r="N378" s="87"/>
      <c r="O378" s="87"/>
      <c r="P378" s="87"/>
      <c r="Q378" s="87"/>
      <c r="R378" s="87"/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87"/>
    </row>
    <row r="379">
      <c r="A379" s="87"/>
      <c r="B379" s="87"/>
      <c r="C379" s="87"/>
      <c r="D379" s="87"/>
      <c r="E379" s="87"/>
      <c r="F379" s="87"/>
      <c r="G379" s="87"/>
      <c r="H379" s="87"/>
      <c r="I379" s="87"/>
      <c r="J379" s="87"/>
      <c r="K379" s="87"/>
      <c r="L379" s="87"/>
      <c r="M379" s="97"/>
      <c r="N379" s="87"/>
      <c r="O379" s="87"/>
      <c r="P379" s="87"/>
      <c r="Q379" s="87"/>
      <c r="R379" s="87"/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87"/>
    </row>
    <row r="380">
      <c r="A380" s="87"/>
      <c r="B380" s="87"/>
      <c r="C380" s="87"/>
      <c r="D380" s="87"/>
      <c r="E380" s="87"/>
      <c r="F380" s="87"/>
      <c r="G380" s="87"/>
      <c r="H380" s="87"/>
      <c r="I380" s="87"/>
      <c r="J380" s="87"/>
      <c r="K380" s="87"/>
      <c r="L380" s="87"/>
      <c r="M380" s="97"/>
      <c r="N380" s="87"/>
      <c r="O380" s="87"/>
      <c r="P380" s="87"/>
      <c r="Q380" s="87"/>
      <c r="R380" s="87"/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87"/>
    </row>
    <row r="381">
      <c r="A381" s="87"/>
      <c r="B381" s="87"/>
      <c r="C381" s="87"/>
      <c r="D381" s="87"/>
      <c r="E381" s="87"/>
      <c r="F381" s="87"/>
      <c r="G381" s="87"/>
      <c r="H381" s="87"/>
      <c r="I381" s="87"/>
      <c r="J381" s="87"/>
      <c r="K381" s="87"/>
      <c r="L381" s="87"/>
      <c r="M381" s="97"/>
      <c r="N381" s="87"/>
      <c r="O381" s="87"/>
      <c r="P381" s="87"/>
      <c r="Q381" s="87"/>
      <c r="R381" s="87"/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87"/>
    </row>
    <row r="382">
      <c r="A382" s="87"/>
      <c r="B382" s="87"/>
      <c r="C382" s="87"/>
      <c r="D382" s="87"/>
      <c r="E382" s="87"/>
      <c r="F382" s="87"/>
      <c r="G382" s="87"/>
      <c r="H382" s="87"/>
      <c r="I382" s="87"/>
      <c r="J382" s="87"/>
      <c r="K382" s="87"/>
      <c r="L382" s="87"/>
      <c r="M382" s="97"/>
      <c r="N382" s="87"/>
      <c r="O382" s="87"/>
      <c r="P382" s="87"/>
      <c r="Q382" s="87"/>
      <c r="R382" s="87"/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87"/>
    </row>
    <row r="383">
      <c r="A383" s="87"/>
      <c r="B383" s="87"/>
      <c r="C383" s="87"/>
      <c r="D383" s="87"/>
      <c r="E383" s="87"/>
      <c r="F383" s="87"/>
      <c r="G383" s="87"/>
      <c r="H383" s="87"/>
      <c r="I383" s="87"/>
      <c r="J383" s="87"/>
      <c r="K383" s="87"/>
      <c r="L383" s="87"/>
      <c r="M383" s="97"/>
      <c r="N383" s="87"/>
      <c r="O383" s="87"/>
      <c r="P383" s="87"/>
      <c r="Q383" s="87"/>
      <c r="R383" s="87"/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87"/>
    </row>
    <row r="384">
      <c r="A384" s="87"/>
      <c r="B384" s="87"/>
      <c r="C384" s="87"/>
      <c r="D384" s="87"/>
      <c r="E384" s="87"/>
      <c r="F384" s="87"/>
      <c r="G384" s="87"/>
      <c r="H384" s="87"/>
      <c r="I384" s="87"/>
      <c r="J384" s="87"/>
      <c r="K384" s="87"/>
      <c r="L384" s="87"/>
      <c r="M384" s="97"/>
      <c r="N384" s="87"/>
      <c r="O384" s="87"/>
      <c r="P384" s="87"/>
      <c r="Q384" s="87"/>
      <c r="R384" s="87"/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87"/>
    </row>
    <row r="385">
      <c r="A385" s="87"/>
      <c r="B385" s="87"/>
      <c r="C385" s="87"/>
      <c r="D385" s="87"/>
      <c r="E385" s="87"/>
      <c r="F385" s="87"/>
      <c r="G385" s="87"/>
      <c r="H385" s="87"/>
      <c r="I385" s="87"/>
      <c r="J385" s="87"/>
      <c r="K385" s="87"/>
      <c r="L385" s="87"/>
      <c r="M385" s="97"/>
      <c r="N385" s="87"/>
      <c r="O385" s="87"/>
      <c r="P385" s="87"/>
      <c r="Q385" s="87"/>
      <c r="R385" s="87"/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87"/>
    </row>
    <row r="386">
      <c r="A386" s="87"/>
      <c r="B386" s="87"/>
      <c r="C386" s="87"/>
      <c r="D386" s="87"/>
      <c r="E386" s="87"/>
      <c r="F386" s="87"/>
      <c r="G386" s="87"/>
      <c r="H386" s="87"/>
      <c r="I386" s="87"/>
      <c r="J386" s="87"/>
      <c r="K386" s="87"/>
      <c r="L386" s="87"/>
      <c r="M386" s="97"/>
      <c r="N386" s="87"/>
      <c r="O386" s="87"/>
      <c r="P386" s="87"/>
      <c r="Q386" s="87"/>
      <c r="R386" s="87"/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87"/>
    </row>
    <row r="387">
      <c r="A387" s="87"/>
      <c r="B387" s="87"/>
      <c r="C387" s="87"/>
      <c r="D387" s="87"/>
      <c r="E387" s="87"/>
      <c r="F387" s="87"/>
      <c r="G387" s="87"/>
      <c r="H387" s="87"/>
      <c r="I387" s="87"/>
      <c r="J387" s="87"/>
      <c r="K387" s="87"/>
      <c r="L387" s="87"/>
      <c r="M387" s="97"/>
      <c r="N387" s="87"/>
      <c r="O387" s="87"/>
      <c r="P387" s="87"/>
      <c r="Q387" s="87"/>
      <c r="R387" s="87"/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87"/>
    </row>
    <row r="388">
      <c r="A388" s="87"/>
      <c r="B388" s="87"/>
      <c r="C388" s="87"/>
      <c r="D388" s="87"/>
      <c r="E388" s="87"/>
      <c r="F388" s="87"/>
      <c r="G388" s="87"/>
      <c r="H388" s="87"/>
      <c r="I388" s="87"/>
      <c r="J388" s="87"/>
      <c r="K388" s="87"/>
      <c r="L388" s="87"/>
      <c r="M388" s="97"/>
      <c r="N388" s="87"/>
      <c r="O388" s="87"/>
      <c r="P388" s="87"/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87"/>
    </row>
    <row r="389">
      <c r="A389" s="87"/>
      <c r="B389" s="87"/>
      <c r="C389" s="87"/>
      <c r="D389" s="87"/>
      <c r="E389" s="87"/>
      <c r="F389" s="87"/>
      <c r="G389" s="87"/>
      <c r="H389" s="87"/>
      <c r="I389" s="87"/>
      <c r="J389" s="87"/>
      <c r="K389" s="87"/>
      <c r="L389" s="87"/>
      <c r="M389" s="97"/>
      <c r="N389" s="87"/>
      <c r="O389" s="87"/>
      <c r="P389" s="87"/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87"/>
    </row>
    <row r="390">
      <c r="A390" s="87"/>
      <c r="B390" s="87"/>
      <c r="C390" s="87"/>
      <c r="D390" s="87"/>
      <c r="E390" s="87"/>
      <c r="F390" s="87"/>
      <c r="G390" s="87"/>
      <c r="H390" s="87"/>
      <c r="I390" s="87"/>
      <c r="J390" s="87"/>
      <c r="K390" s="87"/>
      <c r="L390" s="87"/>
      <c r="M390" s="97"/>
      <c r="N390" s="87"/>
      <c r="O390" s="87"/>
      <c r="P390" s="87"/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87"/>
    </row>
    <row r="391">
      <c r="A391" s="87"/>
      <c r="B391" s="87"/>
      <c r="C391" s="87"/>
      <c r="D391" s="87"/>
      <c r="E391" s="87"/>
      <c r="F391" s="87"/>
      <c r="G391" s="87"/>
      <c r="H391" s="87"/>
      <c r="I391" s="87"/>
      <c r="J391" s="87"/>
      <c r="K391" s="87"/>
      <c r="L391" s="87"/>
      <c r="M391" s="97"/>
      <c r="N391" s="87"/>
      <c r="O391" s="87"/>
      <c r="P391" s="87"/>
      <c r="Q391" s="87"/>
      <c r="R391" s="87"/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87"/>
    </row>
    <row r="392">
      <c r="A392" s="87"/>
      <c r="B392" s="87"/>
      <c r="C392" s="87"/>
      <c r="D392" s="87"/>
      <c r="E392" s="87"/>
      <c r="F392" s="87"/>
      <c r="G392" s="87"/>
      <c r="H392" s="87"/>
      <c r="I392" s="87"/>
      <c r="J392" s="87"/>
      <c r="K392" s="87"/>
      <c r="L392" s="87"/>
      <c r="M392" s="97"/>
      <c r="N392" s="87"/>
      <c r="O392" s="87"/>
      <c r="P392" s="87"/>
      <c r="Q392" s="87"/>
      <c r="R392" s="87"/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87"/>
    </row>
    <row r="393">
      <c r="A393" s="87"/>
      <c r="B393" s="87"/>
      <c r="C393" s="87"/>
      <c r="D393" s="87"/>
      <c r="E393" s="87"/>
      <c r="F393" s="87"/>
      <c r="G393" s="87"/>
      <c r="H393" s="87"/>
      <c r="I393" s="87"/>
      <c r="J393" s="87"/>
      <c r="K393" s="87"/>
      <c r="L393" s="87"/>
      <c r="M393" s="97"/>
      <c r="N393" s="87"/>
      <c r="O393" s="87"/>
      <c r="P393" s="87"/>
      <c r="Q393" s="87"/>
      <c r="R393" s="87"/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87"/>
    </row>
    <row r="394">
      <c r="A394" s="87"/>
      <c r="B394" s="87"/>
      <c r="C394" s="87"/>
      <c r="D394" s="87"/>
      <c r="E394" s="87"/>
      <c r="F394" s="87"/>
      <c r="G394" s="87"/>
      <c r="H394" s="87"/>
      <c r="I394" s="87"/>
      <c r="J394" s="87"/>
      <c r="K394" s="87"/>
      <c r="L394" s="87"/>
      <c r="M394" s="97"/>
      <c r="N394" s="87"/>
      <c r="O394" s="87"/>
      <c r="P394" s="87"/>
      <c r="Q394" s="87"/>
      <c r="R394" s="87"/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87"/>
    </row>
    <row r="395">
      <c r="A395" s="87"/>
      <c r="B395" s="87"/>
      <c r="C395" s="87"/>
      <c r="D395" s="87"/>
      <c r="E395" s="87"/>
      <c r="F395" s="87"/>
      <c r="G395" s="87"/>
      <c r="H395" s="87"/>
      <c r="I395" s="87"/>
      <c r="J395" s="87"/>
      <c r="K395" s="87"/>
      <c r="L395" s="87"/>
      <c r="M395" s="97"/>
      <c r="N395" s="87"/>
      <c r="O395" s="87"/>
      <c r="P395" s="87"/>
      <c r="Q395" s="87"/>
      <c r="R395" s="87"/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87"/>
    </row>
    <row r="396">
      <c r="A396" s="87"/>
      <c r="B396" s="87"/>
      <c r="C396" s="87"/>
      <c r="D396" s="87"/>
      <c r="E396" s="87"/>
      <c r="F396" s="87"/>
      <c r="G396" s="87"/>
      <c r="H396" s="87"/>
      <c r="I396" s="87"/>
      <c r="J396" s="87"/>
      <c r="K396" s="87"/>
      <c r="L396" s="87"/>
      <c r="M396" s="97"/>
      <c r="N396" s="87"/>
      <c r="O396" s="87"/>
      <c r="P396" s="87"/>
      <c r="Q396" s="87"/>
      <c r="R396" s="87"/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87"/>
    </row>
    <row r="397">
      <c r="A397" s="87"/>
      <c r="B397" s="87"/>
      <c r="C397" s="87"/>
      <c r="D397" s="87"/>
      <c r="E397" s="87"/>
      <c r="F397" s="87"/>
      <c r="G397" s="87"/>
      <c r="H397" s="87"/>
      <c r="I397" s="87"/>
      <c r="J397" s="87"/>
      <c r="K397" s="87"/>
      <c r="L397" s="87"/>
      <c r="M397" s="97"/>
      <c r="N397" s="87"/>
      <c r="O397" s="87"/>
      <c r="P397" s="87"/>
      <c r="Q397" s="87"/>
      <c r="R397" s="87"/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87"/>
    </row>
    <row r="398">
      <c r="A398" s="87"/>
      <c r="B398" s="87"/>
      <c r="C398" s="87"/>
      <c r="D398" s="87"/>
      <c r="E398" s="87"/>
      <c r="F398" s="87"/>
      <c r="G398" s="87"/>
      <c r="H398" s="87"/>
      <c r="I398" s="87"/>
      <c r="J398" s="87"/>
      <c r="K398" s="87"/>
      <c r="L398" s="87"/>
      <c r="M398" s="97"/>
      <c r="N398" s="87"/>
      <c r="O398" s="87"/>
      <c r="P398" s="87"/>
      <c r="Q398" s="87"/>
      <c r="R398" s="87"/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87"/>
    </row>
    <row r="399">
      <c r="A399" s="87"/>
      <c r="B399" s="87"/>
      <c r="C399" s="87"/>
      <c r="D399" s="87"/>
      <c r="E399" s="87"/>
      <c r="F399" s="87"/>
      <c r="G399" s="87"/>
      <c r="H399" s="87"/>
      <c r="I399" s="87"/>
      <c r="J399" s="87"/>
      <c r="K399" s="87"/>
      <c r="L399" s="87"/>
      <c r="M399" s="97"/>
      <c r="N399" s="87"/>
      <c r="O399" s="87"/>
      <c r="P399" s="87"/>
      <c r="Q399" s="87"/>
      <c r="R399" s="87"/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87"/>
    </row>
    <row r="400">
      <c r="A400" s="87"/>
      <c r="B400" s="87"/>
      <c r="C400" s="87"/>
      <c r="D400" s="87"/>
      <c r="E400" s="87"/>
      <c r="F400" s="87"/>
      <c r="G400" s="87"/>
      <c r="H400" s="87"/>
      <c r="I400" s="87"/>
      <c r="J400" s="87"/>
      <c r="K400" s="87"/>
      <c r="L400" s="87"/>
      <c r="M400" s="97"/>
      <c r="N400" s="87"/>
      <c r="O400" s="87"/>
      <c r="P400" s="87"/>
      <c r="Q400" s="87"/>
      <c r="R400" s="87"/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87"/>
    </row>
    <row r="401">
      <c r="A401" s="87"/>
      <c r="B401" s="87"/>
      <c r="C401" s="87"/>
      <c r="D401" s="87"/>
      <c r="E401" s="87"/>
      <c r="F401" s="87"/>
      <c r="G401" s="87"/>
      <c r="H401" s="87"/>
      <c r="I401" s="87"/>
      <c r="J401" s="87"/>
      <c r="K401" s="87"/>
      <c r="L401" s="87"/>
      <c r="M401" s="97"/>
      <c r="N401" s="87"/>
      <c r="O401" s="87"/>
      <c r="P401" s="87"/>
      <c r="Q401" s="87"/>
      <c r="R401" s="87"/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87"/>
    </row>
    <row r="402">
      <c r="A402" s="87"/>
      <c r="B402" s="87"/>
      <c r="C402" s="87"/>
      <c r="D402" s="87"/>
      <c r="E402" s="87"/>
      <c r="F402" s="87"/>
      <c r="G402" s="87"/>
      <c r="H402" s="87"/>
      <c r="I402" s="87"/>
      <c r="J402" s="87"/>
      <c r="K402" s="87"/>
      <c r="L402" s="87"/>
      <c r="M402" s="97"/>
      <c r="N402" s="87"/>
      <c r="O402" s="87"/>
      <c r="P402" s="87"/>
      <c r="Q402" s="87"/>
      <c r="R402" s="87"/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87"/>
    </row>
    <row r="403">
      <c r="A403" s="87"/>
      <c r="B403" s="87"/>
      <c r="C403" s="87"/>
      <c r="D403" s="87"/>
      <c r="E403" s="87"/>
      <c r="F403" s="87"/>
      <c r="G403" s="87"/>
      <c r="H403" s="87"/>
      <c r="I403" s="87"/>
      <c r="J403" s="87"/>
      <c r="K403" s="87"/>
      <c r="L403" s="87"/>
      <c r="M403" s="97"/>
      <c r="N403" s="87"/>
      <c r="O403" s="87"/>
      <c r="P403" s="87"/>
      <c r="Q403" s="87"/>
      <c r="R403" s="87"/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87"/>
    </row>
    <row r="404">
      <c r="A404" s="87"/>
      <c r="B404" s="87"/>
      <c r="C404" s="87"/>
      <c r="D404" s="87"/>
      <c r="E404" s="87"/>
      <c r="F404" s="87"/>
      <c r="G404" s="87"/>
      <c r="H404" s="87"/>
      <c r="I404" s="87"/>
      <c r="J404" s="87"/>
      <c r="K404" s="87"/>
      <c r="L404" s="87"/>
      <c r="M404" s="97"/>
      <c r="N404" s="87"/>
      <c r="O404" s="87"/>
      <c r="P404" s="87"/>
      <c r="Q404" s="87"/>
      <c r="R404" s="87"/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87"/>
    </row>
    <row r="405">
      <c r="A405" s="87"/>
      <c r="B405" s="87"/>
      <c r="C405" s="87"/>
      <c r="D405" s="87"/>
      <c r="E405" s="87"/>
      <c r="F405" s="87"/>
      <c r="G405" s="87"/>
      <c r="H405" s="87"/>
      <c r="I405" s="87"/>
      <c r="J405" s="87"/>
      <c r="K405" s="87"/>
      <c r="L405" s="87"/>
      <c r="M405" s="97"/>
      <c r="N405" s="87"/>
      <c r="O405" s="87"/>
      <c r="P405" s="87"/>
      <c r="Q405" s="87"/>
      <c r="R405" s="87"/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87"/>
    </row>
    <row r="406">
      <c r="A406" s="87"/>
      <c r="B406" s="87"/>
      <c r="C406" s="87"/>
      <c r="D406" s="87"/>
      <c r="E406" s="87"/>
      <c r="F406" s="87"/>
      <c r="G406" s="87"/>
      <c r="H406" s="87"/>
      <c r="I406" s="87"/>
      <c r="J406" s="87"/>
      <c r="K406" s="87"/>
      <c r="L406" s="87"/>
      <c r="M406" s="97"/>
      <c r="N406" s="87"/>
      <c r="O406" s="87"/>
      <c r="P406" s="87"/>
      <c r="Q406" s="87"/>
      <c r="R406" s="87"/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87"/>
    </row>
    <row r="407">
      <c r="A407" s="87"/>
      <c r="B407" s="87"/>
      <c r="C407" s="87"/>
      <c r="D407" s="87"/>
      <c r="E407" s="87"/>
      <c r="F407" s="87"/>
      <c r="G407" s="87"/>
      <c r="H407" s="87"/>
      <c r="I407" s="87"/>
      <c r="J407" s="87"/>
      <c r="K407" s="87"/>
      <c r="L407" s="87"/>
      <c r="M407" s="97"/>
      <c r="N407" s="87"/>
      <c r="O407" s="87"/>
      <c r="P407" s="87"/>
      <c r="Q407" s="87"/>
      <c r="R407" s="87"/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87"/>
    </row>
    <row r="408">
      <c r="A408" s="87"/>
      <c r="B408" s="87"/>
      <c r="C408" s="87"/>
      <c r="D408" s="87"/>
      <c r="E408" s="87"/>
      <c r="F408" s="87"/>
      <c r="G408" s="87"/>
      <c r="H408" s="87"/>
      <c r="I408" s="87"/>
      <c r="J408" s="87"/>
      <c r="K408" s="87"/>
      <c r="L408" s="87"/>
      <c r="M408" s="97"/>
      <c r="N408" s="87"/>
      <c r="O408" s="87"/>
      <c r="P408" s="87"/>
      <c r="Q408" s="87"/>
      <c r="R408" s="87"/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87"/>
    </row>
    <row r="409">
      <c r="A409" s="87"/>
      <c r="B409" s="87"/>
      <c r="C409" s="87"/>
      <c r="D409" s="87"/>
      <c r="E409" s="87"/>
      <c r="F409" s="87"/>
      <c r="G409" s="87"/>
      <c r="H409" s="87"/>
      <c r="I409" s="87"/>
      <c r="J409" s="87"/>
      <c r="K409" s="87"/>
      <c r="L409" s="87"/>
      <c r="M409" s="97"/>
      <c r="N409" s="87"/>
      <c r="O409" s="87"/>
      <c r="P409" s="87"/>
      <c r="Q409" s="87"/>
      <c r="R409" s="87"/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87"/>
    </row>
    <row r="410">
      <c r="A410" s="87"/>
      <c r="B410" s="87"/>
      <c r="C410" s="87"/>
      <c r="D410" s="87"/>
      <c r="E410" s="87"/>
      <c r="F410" s="87"/>
      <c r="G410" s="87"/>
      <c r="H410" s="87"/>
      <c r="I410" s="87"/>
      <c r="J410" s="87"/>
      <c r="K410" s="87"/>
      <c r="L410" s="87"/>
      <c r="M410" s="97"/>
      <c r="N410" s="87"/>
      <c r="O410" s="87"/>
      <c r="P410" s="87"/>
      <c r="Q410" s="87"/>
      <c r="R410" s="87"/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7"/>
    </row>
    <row r="411">
      <c r="A411" s="87"/>
      <c r="B411" s="87"/>
      <c r="C411" s="87"/>
      <c r="D411" s="87"/>
      <c r="E411" s="87"/>
      <c r="F411" s="87"/>
      <c r="G411" s="87"/>
      <c r="H411" s="87"/>
      <c r="I411" s="87"/>
      <c r="J411" s="87"/>
      <c r="K411" s="87"/>
      <c r="L411" s="87"/>
      <c r="M411" s="97"/>
      <c r="N411" s="87"/>
      <c r="O411" s="87"/>
      <c r="P411" s="87"/>
      <c r="Q411" s="87"/>
      <c r="R411" s="87"/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</row>
    <row r="412">
      <c r="A412" s="87"/>
      <c r="B412" s="87"/>
      <c r="C412" s="87"/>
      <c r="D412" s="87"/>
      <c r="E412" s="87"/>
      <c r="F412" s="87"/>
      <c r="G412" s="87"/>
      <c r="H412" s="87"/>
      <c r="I412" s="87"/>
      <c r="J412" s="87"/>
      <c r="K412" s="87"/>
      <c r="L412" s="87"/>
      <c r="M412" s="97"/>
      <c r="N412" s="87"/>
      <c r="O412" s="87"/>
      <c r="P412" s="87"/>
      <c r="Q412" s="87"/>
      <c r="R412" s="87"/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87"/>
    </row>
    <row r="413">
      <c r="A413" s="87"/>
      <c r="B413" s="87"/>
      <c r="C413" s="87"/>
      <c r="D413" s="87"/>
      <c r="E413" s="87"/>
      <c r="F413" s="87"/>
      <c r="G413" s="87"/>
      <c r="H413" s="87"/>
      <c r="I413" s="87"/>
      <c r="J413" s="87"/>
      <c r="K413" s="87"/>
      <c r="L413" s="87"/>
      <c r="M413" s="97"/>
      <c r="N413" s="87"/>
      <c r="O413" s="87"/>
      <c r="P413" s="87"/>
      <c r="Q413" s="87"/>
      <c r="R413" s="87"/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87"/>
    </row>
    <row r="414">
      <c r="A414" s="87"/>
      <c r="B414" s="87"/>
      <c r="C414" s="87"/>
      <c r="D414" s="87"/>
      <c r="E414" s="87"/>
      <c r="F414" s="87"/>
      <c r="G414" s="87"/>
      <c r="H414" s="87"/>
      <c r="I414" s="87"/>
      <c r="J414" s="87"/>
      <c r="K414" s="87"/>
      <c r="L414" s="87"/>
      <c r="M414" s="97"/>
      <c r="N414" s="87"/>
      <c r="O414" s="87"/>
      <c r="P414" s="87"/>
      <c r="Q414" s="87"/>
      <c r="R414" s="87"/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87"/>
    </row>
    <row r="415">
      <c r="A415" s="87"/>
      <c r="B415" s="87"/>
      <c r="C415" s="87"/>
      <c r="D415" s="87"/>
      <c r="E415" s="87"/>
      <c r="F415" s="87"/>
      <c r="G415" s="87"/>
      <c r="H415" s="87"/>
      <c r="I415" s="87"/>
      <c r="J415" s="87"/>
      <c r="K415" s="87"/>
      <c r="L415" s="87"/>
      <c r="M415" s="97"/>
      <c r="N415" s="87"/>
      <c r="O415" s="87"/>
      <c r="P415" s="87"/>
      <c r="Q415" s="87"/>
      <c r="R415" s="87"/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</row>
    <row r="416">
      <c r="A416" s="87"/>
      <c r="B416" s="87"/>
      <c r="C416" s="87"/>
      <c r="D416" s="87"/>
      <c r="E416" s="87"/>
      <c r="F416" s="87"/>
      <c r="G416" s="87"/>
      <c r="H416" s="87"/>
      <c r="I416" s="87"/>
      <c r="J416" s="87"/>
      <c r="K416" s="87"/>
      <c r="L416" s="87"/>
      <c r="M416" s="97"/>
      <c r="N416" s="87"/>
      <c r="O416" s="87"/>
      <c r="P416" s="87"/>
      <c r="Q416" s="87"/>
      <c r="R416" s="87"/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87"/>
    </row>
    <row r="417">
      <c r="A417" s="87"/>
      <c r="B417" s="87"/>
      <c r="C417" s="87"/>
      <c r="D417" s="87"/>
      <c r="E417" s="87"/>
      <c r="F417" s="87"/>
      <c r="G417" s="87"/>
      <c r="H417" s="87"/>
      <c r="I417" s="87"/>
      <c r="J417" s="87"/>
      <c r="K417" s="87"/>
      <c r="L417" s="87"/>
      <c r="M417" s="97"/>
      <c r="N417" s="87"/>
      <c r="O417" s="87"/>
      <c r="P417" s="87"/>
      <c r="Q417" s="87"/>
      <c r="R417" s="87"/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87"/>
    </row>
    <row r="418">
      <c r="A418" s="87"/>
      <c r="B418" s="87"/>
      <c r="C418" s="87"/>
      <c r="D418" s="87"/>
      <c r="E418" s="87"/>
      <c r="F418" s="87"/>
      <c r="G418" s="87"/>
      <c r="H418" s="87"/>
      <c r="I418" s="87"/>
      <c r="J418" s="87"/>
      <c r="K418" s="87"/>
      <c r="L418" s="87"/>
      <c r="M418" s="97"/>
      <c r="N418" s="87"/>
      <c r="O418" s="87"/>
      <c r="P418" s="87"/>
      <c r="Q418" s="87"/>
      <c r="R418" s="87"/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87"/>
    </row>
    <row r="419">
      <c r="A419" s="87"/>
      <c r="B419" s="87"/>
      <c r="C419" s="87"/>
      <c r="D419" s="87"/>
      <c r="E419" s="87"/>
      <c r="F419" s="87"/>
      <c r="G419" s="87"/>
      <c r="H419" s="87"/>
      <c r="I419" s="87"/>
      <c r="J419" s="87"/>
      <c r="K419" s="87"/>
      <c r="L419" s="87"/>
      <c r="M419" s="97"/>
      <c r="N419" s="87"/>
      <c r="O419" s="87"/>
      <c r="P419" s="87"/>
      <c r="Q419" s="87"/>
      <c r="R419" s="87"/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87"/>
    </row>
    <row r="420">
      <c r="A420" s="87"/>
      <c r="B420" s="87"/>
      <c r="C420" s="87"/>
      <c r="D420" s="87"/>
      <c r="E420" s="87"/>
      <c r="F420" s="87"/>
      <c r="G420" s="87"/>
      <c r="H420" s="87"/>
      <c r="I420" s="87"/>
      <c r="J420" s="87"/>
      <c r="K420" s="87"/>
      <c r="L420" s="87"/>
      <c r="M420" s="97"/>
      <c r="N420" s="87"/>
      <c r="O420" s="87"/>
      <c r="P420" s="87"/>
      <c r="Q420" s="87"/>
      <c r="R420" s="87"/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87"/>
    </row>
    <row r="421">
      <c r="A421" s="87"/>
      <c r="B421" s="87"/>
      <c r="C421" s="87"/>
      <c r="D421" s="87"/>
      <c r="E421" s="87"/>
      <c r="F421" s="87"/>
      <c r="G421" s="87"/>
      <c r="H421" s="87"/>
      <c r="I421" s="87"/>
      <c r="J421" s="87"/>
      <c r="K421" s="87"/>
      <c r="L421" s="87"/>
      <c r="M421" s="97"/>
      <c r="N421" s="87"/>
      <c r="O421" s="87"/>
      <c r="P421" s="87"/>
      <c r="Q421" s="87"/>
      <c r="R421" s="87"/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87"/>
    </row>
    <row r="422">
      <c r="A422" s="87"/>
      <c r="B422" s="87"/>
      <c r="C422" s="87"/>
      <c r="D422" s="87"/>
      <c r="E422" s="87"/>
      <c r="F422" s="87"/>
      <c r="G422" s="87"/>
      <c r="H422" s="87"/>
      <c r="I422" s="87"/>
      <c r="J422" s="87"/>
      <c r="K422" s="87"/>
      <c r="L422" s="87"/>
      <c r="M422" s="97"/>
      <c r="N422" s="87"/>
      <c r="O422" s="87"/>
      <c r="P422" s="87"/>
      <c r="Q422" s="87"/>
      <c r="R422" s="87"/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87"/>
    </row>
    <row r="423">
      <c r="A423" s="87"/>
      <c r="B423" s="87"/>
      <c r="C423" s="87"/>
      <c r="D423" s="87"/>
      <c r="E423" s="87"/>
      <c r="F423" s="87"/>
      <c r="G423" s="87"/>
      <c r="H423" s="87"/>
      <c r="I423" s="87"/>
      <c r="J423" s="87"/>
      <c r="K423" s="87"/>
      <c r="L423" s="87"/>
      <c r="M423" s="97"/>
      <c r="N423" s="87"/>
      <c r="O423" s="87"/>
      <c r="P423" s="87"/>
      <c r="Q423" s="87"/>
      <c r="R423" s="87"/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87"/>
    </row>
    <row r="424">
      <c r="A424" s="87"/>
      <c r="B424" s="87"/>
      <c r="C424" s="87"/>
      <c r="D424" s="87"/>
      <c r="E424" s="87"/>
      <c r="F424" s="87"/>
      <c r="G424" s="87"/>
      <c r="H424" s="87"/>
      <c r="I424" s="87"/>
      <c r="J424" s="87"/>
      <c r="K424" s="87"/>
      <c r="L424" s="87"/>
      <c r="M424" s="97"/>
      <c r="N424" s="87"/>
      <c r="O424" s="87"/>
      <c r="P424" s="87"/>
      <c r="Q424" s="87"/>
      <c r="R424" s="87"/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87"/>
    </row>
    <row r="425">
      <c r="A425" s="87"/>
      <c r="B425" s="87"/>
      <c r="C425" s="87"/>
      <c r="D425" s="87"/>
      <c r="E425" s="87"/>
      <c r="F425" s="87"/>
      <c r="G425" s="87"/>
      <c r="H425" s="87"/>
      <c r="I425" s="87"/>
      <c r="J425" s="87"/>
      <c r="K425" s="87"/>
      <c r="L425" s="87"/>
      <c r="M425" s="97"/>
      <c r="N425" s="87"/>
      <c r="O425" s="87"/>
      <c r="P425" s="87"/>
      <c r="Q425" s="87"/>
      <c r="R425" s="87"/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</row>
    <row r="426">
      <c r="A426" s="87"/>
      <c r="B426" s="87"/>
      <c r="C426" s="87"/>
      <c r="D426" s="87"/>
      <c r="E426" s="87"/>
      <c r="F426" s="87"/>
      <c r="G426" s="87"/>
      <c r="H426" s="87"/>
      <c r="I426" s="87"/>
      <c r="J426" s="87"/>
      <c r="K426" s="87"/>
      <c r="L426" s="87"/>
      <c r="M426" s="97"/>
      <c r="N426" s="87"/>
      <c r="O426" s="87"/>
      <c r="P426" s="87"/>
      <c r="Q426" s="87"/>
      <c r="R426" s="87"/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87"/>
    </row>
    <row r="427">
      <c r="A427" s="87"/>
      <c r="B427" s="87"/>
      <c r="C427" s="87"/>
      <c r="D427" s="87"/>
      <c r="E427" s="87"/>
      <c r="F427" s="87"/>
      <c r="G427" s="87"/>
      <c r="H427" s="87"/>
      <c r="I427" s="87"/>
      <c r="J427" s="87"/>
      <c r="K427" s="87"/>
      <c r="L427" s="87"/>
      <c r="M427" s="97"/>
      <c r="N427" s="87"/>
      <c r="O427" s="87"/>
      <c r="P427" s="87"/>
      <c r="Q427" s="87"/>
      <c r="R427" s="87"/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87"/>
    </row>
    <row r="428">
      <c r="A428" s="87"/>
      <c r="B428" s="87"/>
      <c r="C428" s="87"/>
      <c r="D428" s="87"/>
      <c r="E428" s="87"/>
      <c r="F428" s="87"/>
      <c r="G428" s="87"/>
      <c r="H428" s="87"/>
      <c r="I428" s="87"/>
      <c r="J428" s="87"/>
      <c r="K428" s="87"/>
      <c r="L428" s="87"/>
      <c r="M428" s="97"/>
      <c r="N428" s="87"/>
      <c r="O428" s="87"/>
      <c r="P428" s="87"/>
      <c r="Q428" s="87"/>
      <c r="R428" s="87"/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87"/>
    </row>
    <row r="429">
      <c r="A429" s="87"/>
      <c r="B429" s="87"/>
      <c r="C429" s="87"/>
      <c r="D429" s="87"/>
      <c r="E429" s="87"/>
      <c r="F429" s="87"/>
      <c r="G429" s="87"/>
      <c r="H429" s="87"/>
      <c r="I429" s="87"/>
      <c r="J429" s="87"/>
      <c r="K429" s="87"/>
      <c r="L429" s="87"/>
      <c r="M429" s="97"/>
      <c r="N429" s="87"/>
      <c r="O429" s="87"/>
      <c r="P429" s="87"/>
      <c r="Q429" s="87"/>
      <c r="R429" s="87"/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87"/>
    </row>
    <row r="430">
      <c r="A430" s="87"/>
      <c r="B430" s="87"/>
      <c r="C430" s="87"/>
      <c r="D430" s="87"/>
      <c r="E430" s="87"/>
      <c r="F430" s="87"/>
      <c r="G430" s="87"/>
      <c r="H430" s="87"/>
      <c r="I430" s="87"/>
      <c r="J430" s="87"/>
      <c r="K430" s="87"/>
      <c r="L430" s="87"/>
      <c r="M430" s="97"/>
      <c r="N430" s="87"/>
      <c r="O430" s="87"/>
      <c r="P430" s="87"/>
      <c r="Q430" s="87"/>
      <c r="R430" s="87"/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87"/>
    </row>
    <row r="431">
      <c r="A431" s="87"/>
      <c r="B431" s="87"/>
      <c r="C431" s="87"/>
      <c r="D431" s="87"/>
      <c r="E431" s="87"/>
      <c r="F431" s="87"/>
      <c r="G431" s="87"/>
      <c r="H431" s="87"/>
      <c r="I431" s="87"/>
      <c r="J431" s="87"/>
      <c r="K431" s="87"/>
      <c r="L431" s="87"/>
      <c r="M431" s="97"/>
      <c r="N431" s="87"/>
      <c r="O431" s="87"/>
      <c r="P431" s="87"/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</row>
    <row r="432">
      <c r="A432" s="87"/>
      <c r="B432" s="87"/>
      <c r="C432" s="87"/>
      <c r="D432" s="87"/>
      <c r="E432" s="87"/>
      <c r="F432" s="87"/>
      <c r="G432" s="87"/>
      <c r="H432" s="87"/>
      <c r="I432" s="87"/>
      <c r="J432" s="87"/>
      <c r="K432" s="87"/>
      <c r="L432" s="87"/>
      <c r="M432" s="97"/>
      <c r="N432" s="87"/>
      <c r="O432" s="87"/>
      <c r="P432" s="87"/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</row>
    <row r="433">
      <c r="A433" s="87"/>
      <c r="B433" s="87"/>
      <c r="C433" s="87"/>
      <c r="D433" s="87"/>
      <c r="E433" s="87"/>
      <c r="F433" s="87"/>
      <c r="G433" s="87"/>
      <c r="H433" s="87"/>
      <c r="I433" s="87"/>
      <c r="J433" s="87"/>
      <c r="K433" s="87"/>
      <c r="L433" s="87"/>
      <c r="M433" s="97"/>
      <c r="N433" s="87"/>
      <c r="O433" s="87"/>
      <c r="P433" s="87"/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</row>
    <row r="434">
      <c r="A434" s="87"/>
      <c r="B434" s="87"/>
      <c r="C434" s="87"/>
      <c r="D434" s="87"/>
      <c r="E434" s="87"/>
      <c r="F434" s="87"/>
      <c r="G434" s="87"/>
      <c r="H434" s="87"/>
      <c r="I434" s="87"/>
      <c r="J434" s="87"/>
      <c r="K434" s="87"/>
      <c r="L434" s="87"/>
      <c r="M434" s="97"/>
      <c r="N434" s="87"/>
      <c r="O434" s="87"/>
      <c r="P434" s="87"/>
      <c r="Q434" s="87"/>
      <c r="R434" s="87"/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87"/>
    </row>
    <row r="435">
      <c r="A435" s="87"/>
      <c r="B435" s="87"/>
      <c r="C435" s="87"/>
      <c r="D435" s="87"/>
      <c r="E435" s="87"/>
      <c r="F435" s="87"/>
      <c r="G435" s="87"/>
      <c r="H435" s="87"/>
      <c r="I435" s="87"/>
      <c r="J435" s="87"/>
      <c r="K435" s="87"/>
      <c r="L435" s="87"/>
      <c r="M435" s="97"/>
      <c r="N435" s="87"/>
      <c r="O435" s="87"/>
      <c r="P435" s="87"/>
      <c r="Q435" s="87"/>
      <c r="R435" s="87"/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</row>
    <row r="436">
      <c r="A436" s="87"/>
      <c r="B436" s="87"/>
      <c r="C436" s="87"/>
      <c r="D436" s="87"/>
      <c r="E436" s="87"/>
      <c r="F436" s="87"/>
      <c r="G436" s="87"/>
      <c r="H436" s="87"/>
      <c r="I436" s="87"/>
      <c r="J436" s="87"/>
      <c r="K436" s="87"/>
      <c r="L436" s="87"/>
      <c r="M436" s="97"/>
      <c r="N436" s="87"/>
      <c r="O436" s="87"/>
      <c r="P436" s="87"/>
      <c r="Q436" s="87"/>
      <c r="R436" s="87"/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87"/>
    </row>
    <row r="437">
      <c r="A437" s="87"/>
      <c r="B437" s="87"/>
      <c r="C437" s="87"/>
      <c r="D437" s="87"/>
      <c r="E437" s="87"/>
      <c r="F437" s="87"/>
      <c r="G437" s="87"/>
      <c r="H437" s="87"/>
      <c r="I437" s="87"/>
      <c r="J437" s="87"/>
      <c r="K437" s="87"/>
      <c r="L437" s="87"/>
      <c r="M437" s="97"/>
      <c r="N437" s="87"/>
      <c r="O437" s="87"/>
      <c r="P437" s="87"/>
      <c r="Q437" s="87"/>
      <c r="R437" s="87"/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87"/>
    </row>
    <row r="438">
      <c r="A438" s="87"/>
      <c r="B438" s="87"/>
      <c r="C438" s="87"/>
      <c r="D438" s="87"/>
      <c r="E438" s="87"/>
      <c r="F438" s="87"/>
      <c r="G438" s="87"/>
      <c r="H438" s="87"/>
      <c r="I438" s="87"/>
      <c r="J438" s="87"/>
      <c r="K438" s="87"/>
      <c r="L438" s="87"/>
      <c r="M438" s="9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87"/>
    </row>
    <row r="439">
      <c r="A439" s="87"/>
      <c r="B439" s="87"/>
      <c r="C439" s="87"/>
      <c r="D439" s="87"/>
      <c r="E439" s="87"/>
      <c r="F439" s="87"/>
      <c r="G439" s="87"/>
      <c r="H439" s="87"/>
      <c r="I439" s="87"/>
      <c r="J439" s="87"/>
      <c r="K439" s="87"/>
      <c r="L439" s="87"/>
      <c r="M439" s="97"/>
      <c r="N439" s="87"/>
      <c r="O439" s="87"/>
      <c r="P439" s="87"/>
      <c r="Q439" s="87"/>
      <c r="R439" s="87"/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87"/>
    </row>
    <row r="440">
      <c r="A440" s="87"/>
      <c r="B440" s="87"/>
      <c r="C440" s="87"/>
      <c r="D440" s="87"/>
      <c r="E440" s="87"/>
      <c r="F440" s="87"/>
      <c r="G440" s="87"/>
      <c r="H440" s="87"/>
      <c r="I440" s="87"/>
      <c r="J440" s="87"/>
      <c r="K440" s="87"/>
      <c r="L440" s="87"/>
      <c r="M440" s="97"/>
      <c r="N440" s="87"/>
      <c r="O440" s="87"/>
      <c r="P440" s="87"/>
      <c r="Q440" s="87"/>
      <c r="R440" s="87"/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87"/>
    </row>
    <row r="441">
      <c r="A441" s="87"/>
      <c r="B441" s="87"/>
      <c r="C441" s="87"/>
      <c r="D441" s="87"/>
      <c r="E441" s="87"/>
      <c r="F441" s="87"/>
      <c r="G441" s="87"/>
      <c r="H441" s="87"/>
      <c r="I441" s="87"/>
      <c r="J441" s="87"/>
      <c r="K441" s="87"/>
      <c r="L441" s="87"/>
      <c r="M441" s="97"/>
      <c r="N441" s="87"/>
      <c r="O441" s="87"/>
      <c r="P441" s="87"/>
      <c r="Q441" s="87"/>
      <c r="R441" s="87"/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87"/>
    </row>
    <row r="442">
      <c r="A442" s="87"/>
      <c r="B442" s="87"/>
      <c r="C442" s="87"/>
      <c r="D442" s="87"/>
      <c r="E442" s="87"/>
      <c r="F442" s="87"/>
      <c r="G442" s="87"/>
      <c r="H442" s="87"/>
      <c r="I442" s="87"/>
      <c r="J442" s="87"/>
      <c r="K442" s="87"/>
      <c r="L442" s="87"/>
      <c r="M442" s="97"/>
      <c r="N442" s="87"/>
      <c r="O442" s="87"/>
      <c r="P442" s="87"/>
      <c r="Q442" s="87"/>
      <c r="R442" s="87"/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87"/>
    </row>
    <row r="443">
      <c r="A443" s="87"/>
      <c r="B443" s="87"/>
      <c r="C443" s="87"/>
      <c r="D443" s="87"/>
      <c r="E443" s="87"/>
      <c r="F443" s="87"/>
      <c r="G443" s="87"/>
      <c r="H443" s="87"/>
      <c r="I443" s="87"/>
      <c r="J443" s="87"/>
      <c r="K443" s="87"/>
      <c r="L443" s="87"/>
      <c r="M443" s="97"/>
      <c r="N443" s="87"/>
      <c r="O443" s="87"/>
      <c r="P443" s="87"/>
      <c r="Q443" s="87"/>
      <c r="R443" s="87"/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87"/>
    </row>
    <row r="444">
      <c r="A444" s="87"/>
      <c r="B444" s="87"/>
      <c r="C444" s="87"/>
      <c r="D444" s="87"/>
      <c r="E444" s="87"/>
      <c r="F444" s="87"/>
      <c r="G444" s="87"/>
      <c r="H444" s="87"/>
      <c r="I444" s="87"/>
      <c r="J444" s="87"/>
      <c r="K444" s="87"/>
      <c r="L444" s="87"/>
      <c r="M444" s="9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</row>
    <row r="445">
      <c r="A445" s="87"/>
      <c r="B445" s="87"/>
      <c r="C445" s="87"/>
      <c r="D445" s="87"/>
      <c r="E445" s="87"/>
      <c r="F445" s="87"/>
      <c r="G445" s="87"/>
      <c r="H445" s="87"/>
      <c r="I445" s="87"/>
      <c r="J445" s="87"/>
      <c r="K445" s="87"/>
      <c r="L445" s="87"/>
      <c r="M445" s="97"/>
      <c r="N445" s="87"/>
      <c r="O445" s="87"/>
      <c r="P445" s="87"/>
      <c r="Q445" s="87"/>
      <c r="R445" s="87"/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87"/>
    </row>
    <row r="446">
      <c r="A446" s="87"/>
      <c r="B446" s="87"/>
      <c r="C446" s="87"/>
      <c r="D446" s="87"/>
      <c r="E446" s="87"/>
      <c r="F446" s="87"/>
      <c r="G446" s="87"/>
      <c r="H446" s="87"/>
      <c r="I446" s="87"/>
      <c r="J446" s="87"/>
      <c r="K446" s="87"/>
      <c r="L446" s="87"/>
      <c r="M446" s="97"/>
      <c r="N446" s="87"/>
      <c r="O446" s="87"/>
      <c r="P446" s="87"/>
      <c r="Q446" s="87"/>
      <c r="R446" s="87"/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87"/>
    </row>
    <row r="447">
      <c r="A447" s="87"/>
      <c r="B447" s="87"/>
      <c r="C447" s="87"/>
      <c r="D447" s="87"/>
      <c r="E447" s="87"/>
      <c r="F447" s="87"/>
      <c r="G447" s="87"/>
      <c r="H447" s="87"/>
      <c r="I447" s="87"/>
      <c r="J447" s="87"/>
      <c r="K447" s="87"/>
      <c r="L447" s="87"/>
      <c r="M447" s="97"/>
      <c r="N447" s="87"/>
      <c r="O447" s="87"/>
      <c r="P447" s="87"/>
      <c r="Q447" s="87"/>
      <c r="R447" s="87"/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87"/>
    </row>
    <row r="448">
      <c r="A448" s="87"/>
      <c r="B448" s="87"/>
      <c r="C448" s="87"/>
      <c r="D448" s="87"/>
      <c r="E448" s="87"/>
      <c r="F448" s="87"/>
      <c r="G448" s="87"/>
      <c r="H448" s="87"/>
      <c r="I448" s="87"/>
      <c r="J448" s="87"/>
      <c r="K448" s="87"/>
      <c r="L448" s="87"/>
      <c r="M448" s="97"/>
      <c r="N448" s="87"/>
      <c r="O448" s="87"/>
      <c r="P448" s="87"/>
      <c r="Q448" s="87"/>
      <c r="R448" s="87"/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87"/>
    </row>
    <row r="449">
      <c r="A449" s="87"/>
      <c r="B449" s="87"/>
      <c r="C449" s="87"/>
      <c r="D449" s="87"/>
      <c r="E449" s="87"/>
      <c r="F449" s="87"/>
      <c r="G449" s="87"/>
      <c r="H449" s="87"/>
      <c r="I449" s="87"/>
      <c r="J449" s="87"/>
      <c r="K449" s="87"/>
      <c r="L449" s="87"/>
      <c r="M449" s="9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87"/>
    </row>
    <row r="450">
      <c r="A450" s="87"/>
      <c r="B450" s="87"/>
      <c r="C450" s="87"/>
      <c r="D450" s="87"/>
      <c r="E450" s="87"/>
      <c r="F450" s="87"/>
      <c r="G450" s="87"/>
      <c r="H450" s="87"/>
      <c r="I450" s="87"/>
      <c r="J450" s="87"/>
      <c r="K450" s="87"/>
      <c r="L450" s="87"/>
      <c r="M450" s="97"/>
      <c r="N450" s="87"/>
      <c r="O450" s="87"/>
      <c r="P450" s="87"/>
      <c r="Q450" s="87"/>
      <c r="R450" s="87"/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87"/>
    </row>
    <row r="451">
      <c r="A451" s="87"/>
      <c r="B451" s="87"/>
      <c r="C451" s="87"/>
      <c r="D451" s="87"/>
      <c r="E451" s="87"/>
      <c r="F451" s="87"/>
      <c r="G451" s="87"/>
      <c r="H451" s="87"/>
      <c r="I451" s="87"/>
      <c r="J451" s="87"/>
      <c r="K451" s="87"/>
      <c r="L451" s="87"/>
      <c r="M451" s="97"/>
      <c r="N451" s="87"/>
      <c r="O451" s="87"/>
      <c r="P451" s="87"/>
      <c r="Q451" s="87"/>
      <c r="R451" s="87"/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87"/>
    </row>
    <row r="452">
      <c r="A452" s="87"/>
      <c r="B452" s="87"/>
      <c r="C452" s="87"/>
      <c r="D452" s="87"/>
      <c r="E452" s="87"/>
      <c r="F452" s="87"/>
      <c r="G452" s="87"/>
      <c r="H452" s="87"/>
      <c r="I452" s="87"/>
      <c r="J452" s="87"/>
      <c r="K452" s="87"/>
      <c r="L452" s="87"/>
      <c r="M452" s="97"/>
      <c r="N452" s="87"/>
      <c r="O452" s="87"/>
      <c r="P452" s="87"/>
      <c r="Q452" s="87"/>
      <c r="R452" s="87"/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87"/>
    </row>
    <row r="453">
      <c r="A453" s="87"/>
      <c r="B453" s="87"/>
      <c r="C453" s="87"/>
      <c r="D453" s="87"/>
      <c r="E453" s="87"/>
      <c r="F453" s="87"/>
      <c r="G453" s="87"/>
      <c r="H453" s="87"/>
      <c r="I453" s="87"/>
      <c r="J453" s="87"/>
      <c r="K453" s="87"/>
      <c r="L453" s="87"/>
      <c r="M453" s="97"/>
      <c r="N453" s="87"/>
      <c r="O453" s="87"/>
      <c r="P453" s="87"/>
      <c r="Q453" s="87"/>
      <c r="R453" s="87"/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87"/>
    </row>
    <row r="454">
      <c r="A454" s="87"/>
      <c r="B454" s="87"/>
      <c r="C454" s="87"/>
      <c r="D454" s="87"/>
      <c r="E454" s="87"/>
      <c r="F454" s="87"/>
      <c r="G454" s="87"/>
      <c r="H454" s="87"/>
      <c r="I454" s="87"/>
      <c r="J454" s="87"/>
      <c r="K454" s="87"/>
      <c r="L454" s="87"/>
      <c r="M454" s="97"/>
      <c r="N454" s="87"/>
      <c r="O454" s="87"/>
      <c r="P454" s="87"/>
      <c r="Q454" s="87"/>
      <c r="R454" s="87"/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87"/>
    </row>
    <row r="455">
      <c r="A455" s="87"/>
      <c r="B455" s="87"/>
      <c r="C455" s="87"/>
      <c r="D455" s="87"/>
      <c r="E455" s="87"/>
      <c r="F455" s="87"/>
      <c r="G455" s="87"/>
      <c r="H455" s="87"/>
      <c r="I455" s="87"/>
      <c r="J455" s="87"/>
      <c r="K455" s="87"/>
      <c r="L455" s="87"/>
      <c r="M455" s="97"/>
      <c r="N455" s="87"/>
      <c r="O455" s="87"/>
      <c r="P455" s="87"/>
      <c r="Q455" s="87"/>
      <c r="R455" s="87"/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87"/>
    </row>
    <row r="456">
      <c r="A456" s="87"/>
      <c r="B456" s="87"/>
      <c r="C456" s="87"/>
      <c r="D456" s="87"/>
      <c r="E456" s="87"/>
      <c r="F456" s="87"/>
      <c r="G456" s="87"/>
      <c r="H456" s="87"/>
      <c r="I456" s="87"/>
      <c r="J456" s="87"/>
      <c r="K456" s="87"/>
      <c r="L456" s="87"/>
      <c r="M456" s="97"/>
      <c r="N456" s="87"/>
      <c r="O456" s="87"/>
      <c r="P456" s="87"/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</row>
    <row r="457">
      <c r="A457" s="87"/>
      <c r="B457" s="87"/>
      <c r="C457" s="87"/>
      <c r="D457" s="87"/>
      <c r="E457" s="87"/>
      <c r="F457" s="87"/>
      <c r="G457" s="87"/>
      <c r="H457" s="87"/>
      <c r="I457" s="87"/>
      <c r="J457" s="87"/>
      <c r="K457" s="87"/>
      <c r="L457" s="87"/>
      <c r="M457" s="97"/>
      <c r="N457" s="87"/>
      <c r="O457" s="87"/>
      <c r="P457" s="87"/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</row>
    <row r="458">
      <c r="A458" s="87"/>
      <c r="B458" s="87"/>
      <c r="C458" s="87"/>
      <c r="D458" s="87"/>
      <c r="E458" s="87"/>
      <c r="F458" s="87"/>
      <c r="G458" s="87"/>
      <c r="H458" s="87"/>
      <c r="I458" s="87"/>
      <c r="J458" s="87"/>
      <c r="K458" s="87"/>
      <c r="L458" s="87"/>
      <c r="M458" s="97"/>
      <c r="N458" s="87"/>
      <c r="O458" s="87"/>
      <c r="P458" s="87"/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</row>
    <row r="459">
      <c r="A459" s="87"/>
      <c r="B459" s="87"/>
      <c r="C459" s="87"/>
      <c r="D459" s="87"/>
      <c r="E459" s="87"/>
      <c r="F459" s="87"/>
      <c r="G459" s="87"/>
      <c r="H459" s="87"/>
      <c r="I459" s="87"/>
      <c r="J459" s="87"/>
      <c r="K459" s="87"/>
      <c r="L459" s="87"/>
      <c r="M459" s="97"/>
      <c r="N459" s="87"/>
      <c r="O459" s="87"/>
      <c r="P459" s="87"/>
      <c r="Q459" s="87"/>
      <c r="R459" s="87"/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87"/>
    </row>
    <row r="460">
      <c r="A460" s="87"/>
      <c r="B460" s="87"/>
      <c r="C460" s="87"/>
      <c r="D460" s="87"/>
      <c r="E460" s="87"/>
      <c r="F460" s="87"/>
      <c r="G460" s="87"/>
      <c r="H460" s="87"/>
      <c r="I460" s="87"/>
      <c r="J460" s="87"/>
      <c r="K460" s="87"/>
      <c r="L460" s="87"/>
      <c r="M460" s="97"/>
      <c r="N460" s="87"/>
      <c r="O460" s="87"/>
      <c r="P460" s="87"/>
      <c r="Q460" s="87"/>
      <c r="R460" s="87"/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87"/>
    </row>
    <row r="461">
      <c r="A461" s="87"/>
      <c r="B461" s="87"/>
      <c r="C461" s="87"/>
      <c r="D461" s="87"/>
      <c r="E461" s="87"/>
      <c r="F461" s="87"/>
      <c r="G461" s="87"/>
      <c r="H461" s="87"/>
      <c r="I461" s="87"/>
      <c r="J461" s="87"/>
      <c r="K461" s="87"/>
      <c r="L461" s="87"/>
      <c r="M461" s="97"/>
      <c r="N461" s="87"/>
      <c r="O461" s="87"/>
      <c r="P461" s="87"/>
      <c r="Q461" s="87"/>
      <c r="R461" s="87"/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87"/>
    </row>
    <row r="462">
      <c r="A462" s="87"/>
      <c r="B462" s="87"/>
      <c r="C462" s="87"/>
      <c r="D462" s="87"/>
      <c r="E462" s="87"/>
      <c r="F462" s="87"/>
      <c r="G462" s="87"/>
      <c r="H462" s="87"/>
      <c r="I462" s="87"/>
      <c r="J462" s="87"/>
      <c r="K462" s="87"/>
      <c r="L462" s="87"/>
      <c r="M462" s="97"/>
      <c r="N462" s="87"/>
      <c r="O462" s="87"/>
      <c r="P462" s="87"/>
      <c r="Q462" s="87"/>
      <c r="R462" s="87"/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87"/>
    </row>
    <row r="463">
      <c r="A463" s="87"/>
      <c r="B463" s="87"/>
      <c r="C463" s="87"/>
      <c r="D463" s="87"/>
      <c r="E463" s="87"/>
      <c r="F463" s="87"/>
      <c r="G463" s="87"/>
      <c r="H463" s="87"/>
      <c r="I463" s="87"/>
      <c r="J463" s="87"/>
      <c r="K463" s="87"/>
      <c r="L463" s="87"/>
      <c r="M463" s="97"/>
      <c r="N463" s="87"/>
      <c r="O463" s="87"/>
      <c r="P463" s="87"/>
      <c r="Q463" s="87"/>
      <c r="R463" s="87"/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87"/>
    </row>
    <row r="464">
      <c r="A464" s="87"/>
      <c r="B464" s="87"/>
      <c r="C464" s="87"/>
      <c r="D464" s="87"/>
      <c r="E464" s="87"/>
      <c r="F464" s="87"/>
      <c r="G464" s="87"/>
      <c r="H464" s="87"/>
      <c r="I464" s="87"/>
      <c r="J464" s="87"/>
      <c r="K464" s="87"/>
      <c r="L464" s="87"/>
      <c r="M464" s="97"/>
      <c r="N464" s="87"/>
      <c r="O464" s="87"/>
      <c r="P464" s="87"/>
      <c r="Q464" s="87"/>
      <c r="R464" s="87"/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87"/>
    </row>
    <row r="465">
      <c r="A465" s="87"/>
      <c r="B465" s="87"/>
      <c r="C465" s="87"/>
      <c r="D465" s="87"/>
      <c r="E465" s="87"/>
      <c r="F465" s="87"/>
      <c r="G465" s="87"/>
      <c r="H465" s="87"/>
      <c r="I465" s="87"/>
      <c r="J465" s="87"/>
      <c r="K465" s="87"/>
      <c r="L465" s="87"/>
      <c r="M465" s="97"/>
      <c r="N465" s="87"/>
      <c r="O465" s="87"/>
      <c r="P465" s="87"/>
      <c r="Q465" s="87"/>
      <c r="R465" s="87"/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87"/>
    </row>
    <row r="466">
      <c r="A466" s="87"/>
      <c r="B466" s="87"/>
      <c r="C466" s="87"/>
      <c r="D466" s="87"/>
      <c r="E466" s="87"/>
      <c r="F466" s="87"/>
      <c r="G466" s="87"/>
      <c r="H466" s="87"/>
      <c r="I466" s="87"/>
      <c r="J466" s="87"/>
      <c r="K466" s="87"/>
      <c r="L466" s="87"/>
      <c r="M466" s="97"/>
      <c r="N466" s="87"/>
      <c r="O466" s="87"/>
      <c r="P466" s="87"/>
      <c r="Q466" s="87"/>
      <c r="R466" s="87"/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87"/>
    </row>
    <row r="467">
      <c r="A467" s="87"/>
      <c r="B467" s="87"/>
      <c r="C467" s="87"/>
      <c r="D467" s="87"/>
      <c r="E467" s="87"/>
      <c r="F467" s="87"/>
      <c r="G467" s="87"/>
      <c r="H467" s="87"/>
      <c r="I467" s="87"/>
      <c r="J467" s="87"/>
      <c r="K467" s="87"/>
      <c r="L467" s="87"/>
      <c r="M467" s="97"/>
      <c r="N467" s="87"/>
      <c r="O467" s="87"/>
      <c r="P467" s="87"/>
      <c r="Q467" s="87"/>
      <c r="R467" s="87"/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87"/>
    </row>
    <row r="468">
      <c r="A468" s="87"/>
      <c r="B468" s="87"/>
      <c r="C468" s="87"/>
      <c r="D468" s="87"/>
      <c r="E468" s="87"/>
      <c r="F468" s="87"/>
      <c r="G468" s="87"/>
      <c r="H468" s="87"/>
      <c r="I468" s="87"/>
      <c r="J468" s="87"/>
      <c r="K468" s="87"/>
      <c r="L468" s="87"/>
      <c r="M468" s="97"/>
      <c r="N468" s="87"/>
      <c r="O468" s="87"/>
      <c r="P468" s="87"/>
      <c r="Q468" s="87"/>
      <c r="R468" s="87"/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87"/>
    </row>
    <row r="469">
      <c r="A469" s="87"/>
      <c r="B469" s="87"/>
      <c r="C469" s="87"/>
      <c r="D469" s="87"/>
      <c r="E469" s="87"/>
      <c r="F469" s="87"/>
      <c r="G469" s="87"/>
      <c r="H469" s="87"/>
      <c r="I469" s="87"/>
      <c r="J469" s="87"/>
      <c r="K469" s="87"/>
      <c r="L469" s="87"/>
      <c r="M469" s="97"/>
      <c r="N469" s="87"/>
      <c r="O469" s="87"/>
      <c r="P469" s="87"/>
      <c r="Q469" s="87"/>
      <c r="R469" s="87"/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87"/>
    </row>
    <row r="470">
      <c r="A470" s="87"/>
      <c r="B470" s="87"/>
      <c r="C470" s="87"/>
      <c r="D470" s="87"/>
      <c r="E470" s="87"/>
      <c r="F470" s="87"/>
      <c r="G470" s="87"/>
      <c r="H470" s="87"/>
      <c r="I470" s="87"/>
      <c r="J470" s="87"/>
      <c r="K470" s="87"/>
      <c r="L470" s="87"/>
      <c r="M470" s="97"/>
      <c r="N470" s="87"/>
      <c r="O470" s="87"/>
      <c r="P470" s="87"/>
      <c r="Q470" s="87"/>
      <c r="R470" s="87"/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87"/>
    </row>
    <row r="471">
      <c r="A471" s="87"/>
      <c r="B471" s="87"/>
      <c r="C471" s="87"/>
      <c r="D471" s="87"/>
      <c r="E471" s="87"/>
      <c r="F471" s="87"/>
      <c r="G471" s="87"/>
      <c r="H471" s="87"/>
      <c r="I471" s="87"/>
      <c r="J471" s="87"/>
      <c r="K471" s="87"/>
      <c r="L471" s="87"/>
      <c r="M471" s="97"/>
      <c r="N471" s="87"/>
      <c r="O471" s="87"/>
      <c r="P471" s="87"/>
      <c r="Q471" s="87"/>
      <c r="R471" s="87"/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87"/>
    </row>
    <row r="472">
      <c r="A472" s="87"/>
      <c r="B472" s="87"/>
      <c r="C472" s="87"/>
      <c r="D472" s="87"/>
      <c r="E472" s="87"/>
      <c r="F472" s="87"/>
      <c r="G472" s="87"/>
      <c r="H472" s="87"/>
      <c r="I472" s="87"/>
      <c r="J472" s="87"/>
      <c r="K472" s="87"/>
      <c r="L472" s="87"/>
      <c r="M472" s="97"/>
      <c r="N472" s="87"/>
      <c r="O472" s="87"/>
      <c r="P472" s="87"/>
      <c r="Q472" s="87"/>
      <c r="R472" s="87"/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87"/>
    </row>
    <row r="473">
      <c r="A473" s="87"/>
      <c r="B473" s="87"/>
      <c r="C473" s="87"/>
      <c r="D473" s="87"/>
      <c r="E473" s="87"/>
      <c r="F473" s="87"/>
      <c r="G473" s="87"/>
      <c r="H473" s="87"/>
      <c r="I473" s="87"/>
      <c r="J473" s="87"/>
      <c r="K473" s="87"/>
      <c r="L473" s="87"/>
      <c r="M473" s="97"/>
      <c r="N473" s="87"/>
      <c r="O473" s="87"/>
      <c r="P473" s="87"/>
      <c r="Q473" s="87"/>
      <c r="R473" s="87"/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87"/>
    </row>
    <row r="474">
      <c r="A474" s="87"/>
      <c r="B474" s="87"/>
      <c r="C474" s="87"/>
      <c r="D474" s="87"/>
      <c r="E474" s="87"/>
      <c r="F474" s="87"/>
      <c r="G474" s="87"/>
      <c r="H474" s="87"/>
      <c r="I474" s="87"/>
      <c r="J474" s="87"/>
      <c r="K474" s="87"/>
      <c r="L474" s="87"/>
      <c r="M474" s="97"/>
      <c r="N474" s="87"/>
      <c r="O474" s="87"/>
      <c r="P474" s="87"/>
      <c r="Q474" s="87"/>
      <c r="R474" s="87"/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87"/>
    </row>
    <row r="475">
      <c r="A475" s="87"/>
      <c r="B475" s="87"/>
      <c r="C475" s="87"/>
      <c r="D475" s="87"/>
      <c r="E475" s="87"/>
      <c r="F475" s="87"/>
      <c r="G475" s="87"/>
      <c r="H475" s="87"/>
      <c r="I475" s="87"/>
      <c r="J475" s="87"/>
      <c r="K475" s="87"/>
      <c r="L475" s="87"/>
      <c r="M475" s="97"/>
      <c r="N475" s="87"/>
      <c r="O475" s="87"/>
      <c r="P475" s="87"/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</row>
    <row r="476">
      <c r="A476" s="87"/>
      <c r="B476" s="87"/>
      <c r="C476" s="87"/>
      <c r="D476" s="87"/>
      <c r="E476" s="87"/>
      <c r="F476" s="87"/>
      <c r="G476" s="87"/>
      <c r="H476" s="87"/>
      <c r="I476" s="87"/>
      <c r="J476" s="87"/>
      <c r="K476" s="87"/>
      <c r="L476" s="87"/>
      <c r="M476" s="97"/>
      <c r="N476" s="87"/>
      <c r="O476" s="87"/>
      <c r="P476" s="87"/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</row>
    <row r="477">
      <c r="A477" s="87"/>
      <c r="B477" s="87"/>
      <c r="C477" s="87"/>
      <c r="D477" s="87"/>
      <c r="E477" s="87"/>
      <c r="F477" s="87"/>
      <c r="G477" s="87"/>
      <c r="H477" s="87"/>
      <c r="I477" s="87"/>
      <c r="J477" s="87"/>
      <c r="K477" s="87"/>
      <c r="L477" s="87"/>
      <c r="M477" s="97"/>
      <c r="N477" s="87"/>
      <c r="O477" s="87"/>
      <c r="P477" s="87"/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</row>
    <row r="478">
      <c r="A478" s="87"/>
      <c r="B478" s="87"/>
      <c r="C478" s="87"/>
      <c r="D478" s="87"/>
      <c r="E478" s="87"/>
      <c r="F478" s="87"/>
      <c r="G478" s="87"/>
      <c r="H478" s="87"/>
      <c r="I478" s="87"/>
      <c r="J478" s="87"/>
      <c r="K478" s="87"/>
      <c r="L478" s="87"/>
      <c r="M478" s="97"/>
      <c r="N478" s="87"/>
      <c r="O478" s="87"/>
      <c r="P478" s="87"/>
      <c r="Q478" s="87"/>
      <c r="R478" s="87"/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87"/>
    </row>
    <row r="479">
      <c r="A479" s="87"/>
      <c r="B479" s="87"/>
      <c r="C479" s="87"/>
      <c r="D479" s="87"/>
      <c r="E479" s="87"/>
      <c r="F479" s="87"/>
      <c r="G479" s="87"/>
      <c r="H479" s="87"/>
      <c r="I479" s="87"/>
      <c r="J479" s="87"/>
      <c r="K479" s="87"/>
      <c r="L479" s="87"/>
      <c r="M479" s="97"/>
      <c r="N479" s="87"/>
      <c r="O479" s="87"/>
      <c r="P479" s="87"/>
      <c r="Q479" s="87"/>
      <c r="R479" s="87"/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87"/>
    </row>
    <row r="480">
      <c r="A480" s="87"/>
      <c r="B480" s="87"/>
      <c r="C480" s="87"/>
      <c r="D480" s="87"/>
      <c r="E480" s="87"/>
      <c r="F480" s="87"/>
      <c r="G480" s="87"/>
      <c r="H480" s="87"/>
      <c r="I480" s="87"/>
      <c r="J480" s="87"/>
      <c r="K480" s="87"/>
      <c r="L480" s="87"/>
      <c r="M480" s="97"/>
      <c r="N480" s="87"/>
      <c r="O480" s="87"/>
      <c r="P480" s="87"/>
      <c r="Q480" s="87"/>
      <c r="R480" s="87"/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87"/>
    </row>
    <row r="481">
      <c r="A481" s="87"/>
      <c r="B481" s="87"/>
      <c r="C481" s="87"/>
      <c r="D481" s="87"/>
      <c r="E481" s="87"/>
      <c r="F481" s="87"/>
      <c r="G481" s="87"/>
      <c r="H481" s="87"/>
      <c r="I481" s="87"/>
      <c r="J481" s="87"/>
      <c r="K481" s="87"/>
      <c r="L481" s="87"/>
      <c r="M481" s="97"/>
      <c r="N481" s="87"/>
      <c r="O481" s="87"/>
      <c r="P481" s="87"/>
      <c r="Q481" s="87"/>
      <c r="R481" s="87"/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87"/>
    </row>
    <row r="482">
      <c r="A482" s="87"/>
      <c r="B482" s="87"/>
      <c r="C482" s="87"/>
      <c r="D482" s="87"/>
      <c r="E482" s="87"/>
      <c r="F482" s="87"/>
      <c r="G482" s="87"/>
      <c r="H482" s="87"/>
      <c r="I482" s="87"/>
      <c r="J482" s="87"/>
      <c r="K482" s="87"/>
      <c r="L482" s="87"/>
      <c r="M482" s="97"/>
      <c r="N482" s="87"/>
      <c r="O482" s="87"/>
      <c r="P482" s="87"/>
      <c r="Q482" s="87"/>
      <c r="R482" s="87"/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87"/>
    </row>
    <row r="483">
      <c r="A483" s="87"/>
      <c r="B483" s="87"/>
      <c r="C483" s="87"/>
      <c r="D483" s="87"/>
      <c r="E483" s="87"/>
      <c r="F483" s="87"/>
      <c r="G483" s="87"/>
      <c r="H483" s="87"/>
      <c r="I483" s="87"/>
      <c r="J483" s="87"/>
      <c r="K483" s="87"/>
      <c r="L483" s="87"/>
      <c r="M483" s="97"/>
      <c r="N483" s="87"/>
      <c r="O483" s="87"/>
      <c r="P483" s="87"/>
      <c r="Q483" s="87"/>
      <c r="R483" s="87"/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87"/>
    </row>
    <row r="484">
      <c r="A484" s="87"/>
      <c r="B484" s="87"/>
      <c r="C484" s="87"/>
      <c r="D484" s="87"/>
      <c r="E484" s="87"/>
      <c r="F484" s="87"/>
      <c r="G484" s="87"/>
      <c r="H484" s="87"/>
      <c r="I484" s="87"/>
      <c r="J484" s="87"/>
      <c r="K484" s="87"/>
      <c r="L484" s="87"/>
      <c r="M484" s="97"/>
      <c r="N484" s="87"/>
      <c r="O484" s="87"/>
      <c r="P484" s="87"/>
      <c r="Q484" s="87"/>
      <c r="R484" s="87"/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</row>
    <row r="485">
      <c r="A485" s="87"/>
      <c r="B485" s="87"/>
      <c r="C485" s="87"/>
      <c r="D485" s="87"/>
      <c r="E485" s="87"/>
      <c r="F485" s="87"/>
      <c r="G485" s="87"/>
      <c r="H485" s="87"/>
      <c r="I485" s="87"/>
      <c r="J485" s="87"/>
      <c r="K485" s="87"/>
      <c r="L485" s="87"/>
      <c r="M485" s="97"/>
      <c r="N485" s="87"/>
      <c r="O485" s="87"/>
      <c r="P485" s="87"/>
      <c r="Q485" s="87"/>
      <c r="R485" s="87"/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87"/>
    </row>
    <row r="486">
      <c r="A486" s="87"/>
      <c r="B486" s="87"/>
      <c r="C486" s="87"/>
      <c r="D486" s="87"/>
      <c r="E486" s="87"/>
      <c r="F486" s="87"/>
      <c r="G486" s="87"/>
      <c r="H486" s="87"/>
      <c r="I486" s="87"/>
      <c r="J486" s="87"/>
      <c r="K486" s="87"/>
      <c r="L486" s="87"/>
      <c r="M486" s="97"/>
      <c r="N486" s="87"/>
      <c r="O486" s="87"/>
      <c r="P486" s="87"/>
      <c r="Q486" s="87"/>
      <c r="R486" s="87"/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</row>
    <row r="487">
      <c r="A487" s="87"/>
      <c r="B487" s="87"/>
      <c r="C487" s="87"/>
      <c r="D487" s="87"/>
      <c r="E487" s="87"/>
      <c r="F487" s="87"/>
      <c r="G487" s="87"/>
      <c r="H487" s="87"/>
      <c r="I487" s="87"/>
      <c r="J487" s="87"/>
      <c r="K487" s="87"/>
      <c r="L487" s="87"/>
      <c r="M487" s="97"/>
      <c r="N487" s="87"/>
      <c r="O487" s="87"/>
      <c r="P487" s="87"/>
      <c r="Q487" s="87"/>
      <c r="R487" s="87"/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87"/>
    </row>
    <row r="488">
      <c r="A488" s="87"/>
      <c r="B488" s="87"/>
      <c r="C488" s="87"/>
      <c r="D488" s="87"/>
      <c r="E488" s="87"/>
      <c r="F488" s="87"/>
      <c r="G488" s="87"/>
      <c r="H488" s="87"/>
      <c r="I488" s="87"/>
      <c r="J488" s="87"/>
      <c r="K488" s="87"/>
      <c r="L488" s="87"/>
      <c r="M488" s="97"/>
      <c r="N488" s="87"/>
      <c r="O488" s="87"/>
      <c r="P488" s="87"/>
      <c r="Q488" s="87"/>
      <c r="R488" s="87"/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</row>
    <row r="489">
      <c r="A489" s="87"/>
      <c r="B489" s="87"/>
      <c r="C489" s="87"/>
      <c r="D489" s="87"/>
      <c r="E489" s="87"/>
      <c r="F489" s="87"/>
      <c r="G489" s="87"/>
      <c r="H489" s="87"/>
      <c r="I489" s="87"/>
      <c r="J489" s="87"/>
      <c r="K489" s="87"/>
      <c r="L489" s="87"/>
      <c r="M489" s="97"/>
      <c r="N489" s="87"/>
      <c r="O489" s="87"/>
      <c r="P489" s="87"/>
      <c r="Q489" s="87"/>
      <c r="R489" s="87"/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</row>
    <row r="490">
      <c r="A490" s="87"/>
      <c r="B490" s="87"/>
      <c r="C490" s="87"/>
      <c r="D490" s="87"/>
      <c r="E490" s="87"/>
      <c r="F490" s="87"/>
      <c r="G490" s="87"/>
      <c r="H490" s="87"/>
      <c r="I490" s="87"/>
      <c r="J490" s="87"/>
      <c r="K490" s="87"/>
      <c r="L490" s="87"/>
      <c r="M490" s="97"/>
      <c r="N490" s="87"/>
      <c r="O490" s="87"/>
      <c r="P490" s="87"/>
      <c r="Q490" s="87"/>
      <c r="R490" s="87"/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</row>
    <row r="491">
      <c r="A491" s="87"/>
      <c r="B491" s="87"/>
      <c r="C491" s="87"/>
      <c r="D491" s="87"/>
      <c r="E491" s="87"/>
      <c r="F491" s="87"/>
      <c r="G491" s="87"/>
      <c r="H491" s="87"/>
      <c r="I491" s="87"/>
      <c r="J491" s="87"/>
      <c r="K491" s="87"/>
      <c r="L491" s="87"/>
      <c r="M491" s="97"/>
      <c r="N491" s="87"/>
      <c r="O491" s="87"/>
      <c r="P491" s="87"/>
      <c r="Q491" s="87"/>
      <c r="R491" s="87"/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</row>
    <row r="492">
      <c r="A492" s="87"/>
      <c r="B492" s="87"/>
      <c r="C492" s="87"/>
      <c r="D492" s="87"/>
      <c r="E492" s="87"/>
      <c r="F492" s="87"/>
      <c r="G492" s="87"/>
      <c r="H492" s="87"/>
      <c r="I492" s="87"/>
      <c r="J492" s="87"/>
      <c r="K492" s="87"/>
      <c r="L492" s="87"/>
      <c r="M492" s="97"/>
      <c r="N492" s="87"/>
      <c r="O492" s="87"/>
      <c r="P492" s="87"/>
      <c r="Q492" s="87"/>
      <c r="R492" s="87"/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</row>
    <row r="493">
      <c r="A493" s="87"/>
      <c r="B493" s="87"/>
      <c r="C493" s="87"/>
      <c r="D493" s="87"/>
      <c r="E493" s="87"/>
      <c r="F493" s="87"/>
      <c r="G493" s="87"/>
      <c r="H493" s="87"/>
      <c r="I493" s="87"/>
      <c r="J493" s="87"/>
      <c r="K493" s="87"/>
      <c r="L493" s="87"/>
      <c r="M493" s="97"/>
      <c r="N493" s="87"/>
      <c r="O493" s="87"/>
      <c r="P493" s="87"/>
      <c r="Q493" s="87"/>
      <c r="R493" s="87"/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</row>
    <row r="494">
      <c r="A494" s="87"/>
      <c r="B494" s="87"/>
      <c r="C494" s="87"/>
      <c r="D494" s="87"/>
      <c r="E494" s="87"/>
      <c r="F494" s="87"/>
      <c r="G494" s="87"/>
      <c r="H494" s="87"/>
      <c r="I494" s="87"/>
      <c r="J494" s="87"/>
      <c r="K494" s="87"/>
      <c r="L494" s="87"/>
      <c r="M494" s="97"/>
      <c r="N494" s="87"/>
      <c r="O494" s="87"/>
      <c r="P494" s="87"/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</row>
    <row r="495">
      <c r="A495" s="87"/>
      <c r="B495" s="87"/>
      <c r="C495" s="87"/>
      <c r="D495" s="87"/>
      <c r="E495" s="87"/>
      <c r="F495" s="87"/>
      <c r="G495" s="87"/>
      <c r="H495" s="87"/>
      <c r="I495" s="87"/>
      <c r="J495" s="87"/>
      <c r="K495" s="87"/>
      <c r="L495" s="87"/>
      <c r="M495" s="97"/>
      <c r="N495" s="87"/>
      <c r="O495" s="87"/>
      <c r="P495" s="87"/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</row>
    <row r="496">
      <c r="A496" s="87"/>
      <c r="B496" s="87"/>
      <c r="C496" s="87"/>
      <c r="D496" s="87"/>
      <c r="E496" s="87"/>
      <c r="F496" s="87"/>
      <c r="G496" s="87"/>
      <c r="H496" s="87"/>
      <c r="I496" s="87"/>
      <c r="J496" s="87"/>
      <c r="K496" s="87"/>
      <c r="L496" s="87"/>
      <c r="M496" s="97"/>
      <c r="N496" s="87"/>
      <c r="O496" s="87"/>
      <c r="P496" s="87"/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</row>
    <row r="497">
      <c r="A497" s="87"/>
      <c r="B497" s="87"/>
      <c r="C497" s="87"/>
      <c r="D497" s="87"/>
      <c r="E497" s="87"/>
      <c r="F497" s="87"/>
      <c r="G497" s="87"/>
      <c r="H497" s="87"/>
      <c r="I497" s="87"/>
      <c r="J497" s="87"/>
      <c r="K497" s="87"/>
      <c r="L497" s="87"/>
      <c r="M497" s="97"/>
      <c r="N497" s="87"/>
      <c r="O497" s="87"/>
      <c r="P497" s="87"/>
      <c r="Q497" s="87"/>
      <c r="R497" s="87"/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87"/>
    </row>
    <row r="498">
      <c r="A498" s="87"/>
      <c r="B498" s="87"/>
      <c r="C498" s="87"/>
      <c r="D498" s="87"/>
      <c r="E498" s="87"/>
      <c r="F498" s="87"/>
      <c r="G498" s="87"/>
      <c r="H498" s="87"/>
      <c r="I498" s="87"/>
      <c r="J498" s="87"/>
      <c r="K498" s="87"/>
      <c r="L498" s="87"/>
      <c r="M498" s="97"/>
      <c r="N498" s="87"/>
      <c r="O498" s="87"/>
      <c r="P498" s="87"/>
      <c r="Q498" s="87"/>
      <c r="R498" s="87"/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</row>
    <row r="499">
      <c r="A499" s="87"/>
      <c r="B499" s="87"/>
      <c r="C499" s="87"/>
      <c r="D499" s="87"/>
      <c r="E499" s="87"/>
      <c r="F499" s="87"/>
      <c r="G499" s="87"/>
      <c r="H499" s="87"/>
      <c r="I499" s="87"/>
      <c r="J499" s="87"/>
      <c r="K499" s="87"/>
      <c r="L499" s="87"/>
      <c r="M499" s="97"/>
      <c r="N499" s="87"/>
      <c r="O499" s="87"/>
      <c r="P499" s="87"/>
      <c r="Q499" s="87"/>
      <c r="R499" s="87"/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</row>
    <row r="500">
      <c r="A500" s="87"/>
      <c r="B500" s="87"/>
      <c r="C500" s="87"/>
      <c r="D500" s="87"/>
      <c r="E500" s="87"/>
      <c r="F500" s="87"/>
      <c r="G500" s="87"/>
      <c r="H500" s="87"/>
      <c r="I500" s="87"/>
      <c r="J500" s="87"/>
      <c r="K500" s="87"/>
      <c r="L500" s="87"/>
      <c r="M500" s="97"/>
      <c r="N500" s="87"/>
      <c r="O500" s="87"/>
      <c r="P500" s="87"/>
      <c r="Q500" s="87"/>
      <c r="R500" s="87"/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87"/>
    </row>
    <row r="501">
      <c r="A501" s="87"/>
      <c r="B501" s="87"/>
      <c r="C501" s="87"/>
      <c r="D501" s="87"/>
      <c r="E501" s="87"/>
      <c r="F501" s="87"/>
      <c r="G501" s="87"/>
      <c r="H501" s="87"/>
      <c r="I501" s="87"/>
      <c r="J501" s="87"/>
      <c r="K501" s="87"/>
      <c r="L501" s="87"/>
      <c r="M501" s="97"/>
      <c r="N501" s="87"/>
      <c r="O501" s="87"/>
      <c r="P501" s="87"/>
      <c r="Q501" s="87"/>
      <c r="R501" s="87"/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87"/>
    </row>
    <row r="502">
      <c r="A502" s="87"/>
      <c r="B502" s="87"/>
      <c r="C502" s="87"/>
      <c r="D502" s="87"/>
      <c r="E502" s="87"/>
      <c r="F502" s="87"/>
      <c r="G502" s="87"/>
      <c r="H502" s="87"/>
      <c r="I502" s="87"/>
      <c r="J502" s="87"/>
      <c r="K502" s="87"/>
      <c r="L502" s="87"/>
      <c r="M502" s="97"/>
      <c r="N502" s="87"/>
      <c r="O502" s="87"/>
      <c r="P502" s="87"/>
      <c r="Q502" s="87"/>
      <c r="R502" s="87"/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87"/>
    </row>
    <row r="503">
      <c r="A503" s="87"/>
      <c r="B503" s="87"/>
      <c r="C503" s="87"/>
      <c r="D503" s="87"/>
      <c r="E503" s="87"/>
      <c r="F503" s="87"/>
      <c r="G503" s="87"/>
      <c r="H503" s="87"/>
      <c r="I503" s="87"/>
      <c r="J503" s="87"/>
      <c r="K503" s="87"/>
      <c r="L503" s="87"/>
      <c r="M503" s="97"/>
      <c r="N503" s="87"/>
      <c r="O503" s="87"/>
      <c r="P503" s="87"/>
      <c r="Q503" s="87"/>
      <c r="R503" s="87"/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87"/>
    </row>
    <row r="504">
      <c r="A504" s="87"/>
      <c r="B504" s="87"/>
      <c r="C504" s="87"/>
      <c r="D504" s="87"/>
      <c r="E504" s="87"/>
      <c r="F504" s="87"/>
      <c r="G504" s="87"/>
      <c r="H504" s="87"/>
      <c r="I504" s="87"/>
      <c r="J504" s="87"/>
      <c r="K504" s="87"/>
      <c r="L504" s="87"/>
      <c r="M504" s="97"/>
      <c r="N504" s="87"/>
      <c r="O504" s="87"/>
      <c r="P504" s="87"/>
      <c r="Q504" s="87"/>
      <c r="R504" s="87"/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</row>
    <row r="505">
      <c r="A505" s="87"/>
      <c r="B505" s="87"/>
      <c r="C505" s="87"/>
      <c r="D505" s="87"/>
      <c r="E505" s="87"/>
      <c r="F505" s="87"/>
      <c r="G505" s="87"/>
      <c r="H505" s="87"/>
      <c r="I505" s="87"/>
      <c r="J505" s="87"/>
      <c r="K505" s="87"/>
      <c r="L505" s="87"/>
      <c r="M505" s="97"/>
      <c r="N505" s="87"/>
      <c r="O505" s="87"/>
      <c r="P505" s="87"/>
      <c r="Q505" s="87"/>
      <c r="R505" s="87"/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87"/>
    </row>
    <row r="506">
      <c r="A506" s="87"/>
      <c r="B506" s="87"/>
      <c r="C506" s="87"/>
      <c r="D506" s="87"/>
      <c r="E506" s="87"/>
      <c r="F506" s="87"/>
      <c r="G506" s="87"/>
      <c r="H506" s="87"/>
      <c r="I506" s="87"/>
      <c r="J506" s="87"/>
      <c r="K506" s="87"/>
      <c r="L506" s="87"/>
      <c r="M506" s="97"/>
      <c r="N506" s="87"/>
      <c r="O506" s="87"/>
      <c r="P506" s="87"/>
      <c r="Q506" s="87"/>
      <c r="R506" s="87"/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87"/>
    </row>
    <row r="507">
      <c r="A507" s="87"/>
      <c r="B507" s="87"/>
      <c r="C507" s="87"/>
      <c r="D507" s="87"/>
      <c r="E507" s="87"/>
      <c r="F507" s="87"/>
      <c r="G507" s="87"/>
      <c r="H507" s="87"/>
      <c r="I507" s="87"/>
      <c r="J507" s="87"/>
      <c r="K507" s="87"/>
      <c r="L507" s="87"/>
      <c r="M507" s="97"/>
      <c r="N507" s="87"/>
      <c r="O507" s="87"/>
      <c r="P507" s="87"/>
      <c r="Q507" s="87"/>
      <c r="R507" s="87"/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87"/>
    </row>
    <row r="508">
      <c r="A508" s="87"/>
      <c r="B508" s="87"/>
      <c r="C508" s="87"/>
      <c r="D508" s="87"/>
      <c r="E508" s="87"/>
      <c r="F508" s="87"/>
      <c r="G508" s="87"/>
      <c r="H508" s="87"/>
      <c r="I508" s="87"/>
      <c r="J508" s="87"/>
      <c r="K508" s="87"/>
      <c r="L508" s="87"/>
      <c r="M508" s="97"/>
      <c r="N508" s="87"/>
      <c r="O508" s="87"/>
      <c r="P508" s="87"/>
      <c r="Q508" s="87"/>
      <c r="R508" s="87"/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87"/>
    </row>
    <row r="509">
      <c r="A509" s="87"/>
      <c r="B509" s="87"/>
      <c r="C509" s="87"/>
      <c r="D509" s="87"/>
      <c r="E509" s="87"/>
      <c r="F509" s="87"/>
      <c r="G509" s="87"/>
      <c r="H509" s="87"/>
      <c r="I509" s="87"/>
      <c r="J509" s="87"/>
      <c r="K509" s="87"/>
      <c r="L509" s="87"/>
      <c r="M509" s="9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87"/>
    </row>
    <row r="510">
      <c r="A510" s="87"/>
      <c r="B510" s="87"/>
      <c r="C510" s="87"/>
      <c r="D510" s="87"/>
      <c r="E510" s="87"/>
      <c r="F510" s="87"/>
      <c r="G510" s="87"/>
      <c r="H510" s="87"/>
      <c r="I510" s="87"/>
      <c r="J510" s="87"/>
      <c r="K510" s="87"/>
      <c r="L510" s="87"/>
      <c r="M510" s="97"/>
      <c r="N510" s="87"/>
      <c r="O510" s="87"/>
      <c r="P510" s="87"/>
      <c r="Q510" s="87"/>
      <c r="R510" s="87"/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87"/>
    </row>
    <row r="511">
      <c r="A511" s="87"/>
      <c r="B511" s="87"/>
      <c r="C511" s="87"/>
      <c r="D511" s="87"/>
      <c r="E511" s="87"/>
      <c r="F511" s="87"/>
      <c r="G511" s="87"/>
      <c r="H511" s="87"/>
      <c r="I511" s="87"/>
      <c r="J511" s="87"/>
      <c r="K511" s="87"/>
      <c r="L511" s="87"/>
      <c r="M511" s="97"/>
      <c r="N511" s="87"/>
      <c r="O511" s="87"/>
      <c r="P511" s="87"/>
      <c r="Q511" s="87"/>
      <c r="R511" s="87"/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87"/>
    </row>
    <row r="512">
      <c r="A512" s="87"/>
      <c r="B512" s="87"/>
      <c r="C512" s="87"/>
      <c r="D512" s="87"/>
      <c r="E512" s="87"/>
      <c r="F512" s="87"/>
      <c r="G512" s="87"/>
      <c r="H512" s="87"/>
      <c r="I512" s="87"/>
      <c r="J512" s="87"/>
      <c r="K512" s="87"/>
      <c r="L512" s="87"/>
      <c r="M512" s="97"/>
      <c r="N512" s="87"/>
      <c r="O512" s="87"/>
      <c r="P512" s="87"/>
      <c r="Q512" s="87"/>
      <c r="R512" s="87"/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87"/>
    </row>
    <row r="513">
      <c r="A513" s="87"/>
      <c r="B513" s="87"/>
      <c r="C513" s="87"/>
      <c r="D513" s="87"/>
      <c r="E513" s="87"/>
      <c r="F513" s="87"/>
      <c r="G513" s="87"/>
      <c r="H513" s="87"/>
      <c r="I513" s="87"/>
      <c r="J513" s="87"/>
      <c r="K513" s="87"/>
      <c r="L513" s="87"/>
      <c r="M513" s="97"/>
      <c r="N513" s="87"/>
      <c r="O513" s="87"/>
      <c r="P513" s="87"/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</row>
    <row r="514">
      <c r="A514" s="87"/>
      <c r="B514" s="87"/>
      <c r="C514" s="87"/>
      <c r="D514" s="87"/>
      <c r="E514" s="87"/>
      <c r="F514" s="87"/>
      <c r="G514" s="87"/>
      <c r="H514" s="87"/>
      <c r="I514" s="87"/>
      <c r="J514" s="87"/>
      <c r="K514" s="87"/>
      <c r="L514" s="87"/>
      <c r="M514" s="97"/>
      <c r="N514" s="87"/>
      <c r="O514" s="87"/>
      <c r="P514" s="87"/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</row>
    <row r="515">
      <c r="A515" s="87"/>
      <c r="B515" s="87"/>
      <c r="C515" s="87"/>
      <c r="D515" s="87"/>
      <c r="E515" s="87"/>
      <c r="F515" s="87"/>
      <c r="G515" s="87"/>
      <c r="H515" s="87"/>
      <c r="I515" s="87"/>
      <c r="J515" s="87"/>
      <c r="K515" s="87"/>
      <c r="L515" s="87"/>
      <c r="M515" s="97"/>
      <c r="N515" s="87"/>
      <c r="O515" s="87"/>
      <c r="P515" s="87"/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</row>
    <row r="516">
      <c r="A516" s="87"/>
      <c r="B516" s="87"/>
      <c r="C516" s="87"/>
      <c r="D516" s="87"/>
      <c r="E516" s="87"/>
      <c r="F516" s="87"/>
      <c r="G516" s="87"/>
      <c r="H516" s="87"/>
      <c r="I516" s="87"/>
      <c r="J516" s="87"/>
      <c r="K516" s="87"/>
      <c r="L516" s="87"/>
      <c r="M516" s="97"/>
      <c r="N516" s="87"/>
      <c r="O516" s="87"/>
      <c r="P516" s="87"/>
      <c r="Q516" s="87"/>
      <c r="R516" s="87"/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87"/>
    </row>
    <row r="517">
      <c r="A517" s="87"/>
      <c r="B517" s="87"/>
      <c r="C517" s="87"/>
      <c r="D517" s="87"/>
      <c r="E517" s="87"/>
      <c r="F517" s="87"/>
      <c r="G517" s="87"/>
      <c r="H517" s="87"/>
      <c r="I517" s="87"/>
      <c r="J517" s="87"/>
      <c r="K517" s="87"/>
      <c r="L517" s="87"/>
      <c r="M517" s="97"/>
      <c r="N517" s="87"/>
      <c r="O517" s="87"/>
      <c r="P517" s="87"/>
      <c r="Q517" s="87"/>
      <c r="R517" s="87"/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87"/>
    </row>
    <row r="518">
      <c r="A518" s="87"/>
      <c r="B518" s="87"/>
      <c r="C518" s="87"/>
      <c r="D518" s="87"/>
      <c r="E518" s="87"/>
      <c r="F518" s="87"/>
      <c r="G518" s="87"/>
      <c r="H518" s="87"/>
      <c r="I518" s="87"/>
      <c r="J518" s="87"/>
      <c r="K518" s="87"/>
      <c r="L518" s="87"/>
      <c r="M518" s="97"/>
      <c r="N518" s="87"/>
      <c r="O518" s="87"/>
      <c r="P518" s="87"/>
      <c r="Q518" s="87"/>
      <c r="R518" s="87"/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87"/>
    </row>
    <row r="519">
      <c r="A519" s="87"/>
      <c r="B519" s="87"/>
      <c r="C519" s="87"/>
      <c r="D519" s="87"/>
      <c r="E519" s="87"/>
      <c r="F519" s="87"/>
      <c r="G519" s="87"/>
      <c r="H519" s="87"/>
      <c r="I519" s="87"/>
      <c r="J519" s="87"/>
      <c r="K519" s="87"/>
      <c r="L519" s="87"/>
      <c r="M519" s="97"/>
      <c r="N519" s="87"/>
      <c r="O519" s="87"/>
      <c r="P519" s="87"/>
      <c r="Q519" s="87"/>
      <c r="R519" s="87"/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87"/>
    </row>
    <row r="520">
      <c r="A520" s="87"/>
      <c r="B520" s="87"/>
      <c r="C520" s="87"/>
      <c r="D520" s="87"/>
      <c r="E520" s="87"/>
      <c r="F520" s="87"/>
      <c r="G520" s="87"/>
      <c r="H520" s="87"/>
      <c r="I520" s="87"/>
      <c r="J520" s="87"/>
      <c r="K520" s="87"/>
      <c r="L520" s="87"/>
      <c r="M520" s="97"/>
      <c r="N520" s="87"/>
      <c r="O520" s="87"/>
      <c r="P520" s="87"/>
      <c r="Q520" s="87"/>
      <c r="R520" s="87"/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87"/>
    </row>
    <row r="521">
      <c r="A521" s="87"/>
      <c r="B521" s="87"/>
      <c r="C521" s="87"/>
      <c r="D521" s="87"/>
      <c r="E521" s="87"/>
      <c r="F521" s="87"/>
      <c r="G521" s="87"/>
      <c r="H521" s="87"/>
      <c r="I521" s="87"/>
      <c r="J521" s="87"/>
      <c r="K521" s="87"/>
      <c r="L521" s="87"/>
      <c r="M521" s="97"/>
      <c r="N521" s="87"/>
      <c r="O521" s="87"/>
      <c r="P521" s="87"/>
      <c r="Q521" s="87"/>
      <c r="R521" s="87"/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87"/>
    </row>
    <row r="522">
      <c r="A522" s="87"/>
      <c r="B522" s="87"/>
      <c r="C522" s="87"/>
      <c r="D522" s="87"/>
      <c r="E522" s="87"/>
      <c r="F522" s="87"/>
      <c r="G522" s="87"/>
      <c r="H522" s="87"/>
      <c r="I522" s="87"/>
      <c r="J522" s="87"/>
      <c r="K522" s="87"/>
      <c r="L522" s="87"/>
      <c r="M522" s="97"/>
      <c r="N522" s="87"/>
      <c r="O522" s="87"/>
      <c r="P522" s="87"/>
      <c r="Q522" s="87"/>
      <c r="R522" s="87"/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87"/>
    </row>
    <row r="523">
      <c r="A523" s="87"/>
      <c r="B523" s="87"/>
      <c r="C523" s="87"/>
      <c r="D523" s="87"/>
      <c r="E523" s="87"/>
      <c r="F523" s="87"/>
      <c r="G523" s="87"/>
      <c r="H523" s="87"/>
      <c r="I523" s="87"/>
      <c r="J523" s="87"/>
      <c r="K523" s="87"/>
      <c r="L523" s="87"/>
      <c r="M523" s="97"/>
      <c r="N523" s="87"/>
      <c r="O523" s="87"/>
      <c r="P523" s="87"/>
      <c r="Q523" s="87"/>
      <c r="R523" s="87"/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87"/>
    </row>
    <row r="524">
      <c r="A524" s="87"/>
      <c r="B524" s="87"/>
      <c r="C524" s="87"/>
      <c r="D524" s="87"/>
      <c r="E524" s="87"/>
      <c r="F524" s="87"/>
      <c r="G524" s="87"/>
      <c r="H524" s="87"/>
      <c r="I524" s="87"/>
      <c r="J524" s="87"/>
      <c r="K524" s="87"/>
      <c r="L524" s="87"/>
      <c r="M524" s="97"/>
      <c r="N524" s="87"/>
      <c r="O524" s="87"/>
      <c r="P524" s="87"/>
      <c r="Q524" s="87"/>
      <c r="R524" s="87"/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87"/>
    </row>
    <row r="525">
      <c r="A525" s="87"/>
      <c r="B525" s="87"/>
      <c r="C525" s="87"/>
      <c r="D525" s="87"/>
      <c r="E525" s="87"/>
      <c r="F525" s="87"/>
      <c r="G525" s="87"/>
      <c r="H525" s="87"/>
      <c r="I525" s="87"/>
      <c r="J525" s="87"/>
      <c r="K525" s="87"/>
      <c r="L525" s="87"/>
      <c r="M525" s="97"/>
      <c r="N525" s="87"/>
      <c r="O525" s="87"/>
      <c r="P525" s="87"/>
      <c r="Q525" s="87"/>
      <c r="R525" s="87"/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87"/>
    </row>
    <row r="526">
      <c r="A526" s="87"/>
      <c r="B526" s="87"/>
      <c r="C526" s="87"/>
      <c r="D526" s="87"/>
      <c r="E526" s="87"/>
      <c r="F526" s="87"/>
      <c r="G526" s="87"/>
      <c r="H526" s="87"/>
      <c r="I526" s="87"/>
      <c r="J526" s="87"/>
      <c r="K526" s="87"/>
      <c r="L526" s="87"/>
      <c r="M526" s="97"/>
      <c r="N526" s="87"/>
      <c r="O526" s="87"/>
      <c r="P526" s="87"/>
      <c r="Q526" s="87"/>
      <c r="R526" s="87"/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87"/>
    </row>
    <row r="527">
      <c r="A527" s="87"/>
      <c r="B527" s="87"/>
      <c r="C527" s="87"/>
      <c r="D527" s="87"/>
      <c r="E527" s="87"/>
      <c r="F527" s="87"/>
      <c r="G527" s="87"/>
      <c r="H527" s="87"/>
      <c r="I527" s="87"/>
      <c r="J527" s="87"/>
      <c r="K527" s="87"/>
      <c r="L527" s="87"/>
      <c r="M527" s="97"/>
      <c r="N527" s="87"/>
      <c r="O527" s="87"/>
      <c r="P527" s="87"/>
      <c r="Q527" s="87"/>
      <c r="R527" s="87"/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87"/>
    </row>
    <row r="528">
      <c r="A528" s="87"/>
      <c r="B528" s="87"/>
      <c r="C528" s="87"/>
      <c r="D528" s="87"/>
      <c r="E528" s="87"/>
      <c r="F528" s="87"/>
      <c r="G528" s="87"/>
      <c r="H528" s="87"/>
      <c r="I528" s="87"/>
      <c r="J528" s="87"/>
      <c r="K528" s="87"/>
      <c r="L528" s="87"/>
      <c r="M528" s="97"/>
      <c r="N528" s="87"/>
      <c r="O528" s="87"/>
      <c r="P528" s="87"/>
      <c r="Q528" s="87"/>
      <c r="R528" s="87"/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87"/>
    </row>
    <row r="529">
      <c r="A529" s="87"/>
      <c r="B529" s="87"/>
      <c r="C529" s="87"/>
      <c r="D529" s="87"/>
      <c r="E529" s="87"/>
      <c r="F529" s="87"/>
      <c r="G529" s="87"/>
      <c r="H529" s="87"/>
      <c r="I529" s="87"/>
      <c r="J529" s="87"/>
      <c r="K529" s="87"/>
      <c r="L529" s="87"/>
      <c r="M529" s="97"/>
      <c r="N529" s="87"/>
      <c r="O529" s="87"/>
      <c r="P529" s="87"/>
      <c r="Q529" s="87"/>
      <c r="R529" s="87"/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87"/>
    </row>
    <row r="530">
      <c r="A530" s="87"/>
      <c r="B530" s="87"/>
      <c r="C530" s="87"/>
      <c r="D530" s="87"/>
      <c r="E530" s="87"/>
      <c r="F530" s="87"/>
      <c r="G530" s="87"/>
      <c r="H530" s="87"/>
      <c r="I530" s="87"/>
      <c r="J530" s="87"/>
      <c r="K530" s="87"/>
      <c r="L530" s="87"/>
      <c r="M530" s="97"/>
      <c r="N530" s="87"/>
      <c r="O530" s="87"/>
      <c r="P530" s="87"/>
      <c r="Q530" s="87"/>
      <c r="R530" s="87"/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87"/>
    </row>
    <row r="531">
      <c r="A531" s="87"/>
      <c r="B531" s="87"/>
      <c r="C531" s="87"/>
      <c r="D531" s="87"/>
      <c r="E531" s="87"/>
      <c r="F531" s="87"/>
      <c r="G531" s="87"/>
      <c r="H531" s="87"/>
      <c r="I531" s="87"/>
      <c r="J531" s="87"/>
      <c r="K531" s="87"/>
      <c r="L531" s="87"/>
      <c r="M531" s="97"/>
      <c r="N531" s="87"/>
      <c r="O531" s="87"/>
      <c r="P531" s="87"/>
      <c r="Q531" s="87"/>
      <c r="R531" s="87"/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87"/>
    </row>
    <row r="532">
      <c r="A532" s="87"/>
      <c r="B532" s="87"/>
      <c r="C532" s="87"/>
      <c r="D532" s="87"/>
      <c r="E532" s="87"/>
      <c r="F532" s="87"/>
      <c r="G532" s="87"/>
      <c r="H532" s="87"/>
      <c r="I532" s="87"/>
      <c r="J532" s="87"/>
      <c r="K532" s="87"/>
      <c r="L532" s="87"/>
      <c r="M532" s="97"/>
      <c r="N532" s="87"/>
      <c r="O532" s="87"/>
      <c r="P532" s="87"/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</row>
    <row r="533">
      <c r="A533" s="87"/>
      <c r="B533" s="87"/>
      <c r="C533" s="87"/>
      <c r="D533" s="87"/>
      <c r="E533" s="87"/>
      <c r="F533" s="87"/>
      <c r="G533" s="87"/>
      <c r="H533" s="87"/>
      <c r="I533" s="87"/>
      <c r="J533" s="87"/>
      <c r="K533" s="87"/>
      <c r="L533" s="87"/>
      <c r="M533" s="9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</row>
    <row r="534">
      <c r="A534" s="87"/>
      <c r="B534" s="87"/>
      <c r="C534" s="87"/>
      <c r="D534" s="87"/>
      <c r="E534" s="87"/>
      <c r="F534" s="87"/>
      <c r="G534" s="87"/>
      <c r="H534" s="87"/>
      <c r="I534" s="87"/>
      <c r="J534" s="87"/>
      <c r="K534" s="87"/>
      <c r="L534" s="87"/>
      <c r="M534" s="97"/>
      <c r="N534" s="87"/>
      <c r="O534" s="87"/>
      <c r="P534" s="87"/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</row>
    <row r="535">
      <c r="A535" s="87"/>
      <c r="B535" s="87"/>
      <c r="C535" s="87"/>
      <c r="D535" s="87"/>
      <c r="E535" s="87"/>
      <c r="F535" s="87"/>
      <c r="G535" s="87"/>
      <c r="H535" s="87"/>
      <c r="I535" s="87"/>
      <c r="J535" s="87"/>
      <c r="K535" s="87"/>
      <c r="L535" s="87"/>
      <c r="M535" s="97"/>
      <c r="N535" s="87"/>
      <c r="O535" s="87"/>
      <c r="P535" s="87"/>
      <c r="Q535" s="87"/>
      <c r="R535" s="87"/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87"/>
    </row>
    <row r="536">
      <c r="A536" s="87"/>
      <c r="B536" s="87"/>
      <c r="C536" s="87"/>
      <c r="D536" s="87"/>
      <c r="E536" s="87"/>
      <c r="F536" s="87"/>
      <c r="G536" s="87"/>
      <c r="H536" s="87"/>
      <c r="I536" s="87"/>
      <c r="J536" s="87"/>
      <c r="K536" s="87"/>
      <c r="L536" s="87"/>
      <c r="M536" s="97"/>
      <c r="N536" s="87"/>
      <c r="O536" s="87"/>
      <c r="P536" s="87"/>
      <c r="Q536" s="87"/>
      <c r="R536" s="87"/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87"/>
    </row>
    <row r="537">
      <c r="A537" s="87"/>
      <c r="B537" s="87"/>
      <c r="C537" s="87"/>
      <c r="D537" s="87"/>
      <c r="E537" s="87"/>
      <c r="F537" s="87"/>
      <c r="G537" s="87"/>
      <c r="H537" s="87"/>
      <c r="I537" s="87"/>
      <c r="J537" s="87"/>
      <c r="K537" s="87"/>
      <c r="L537" s="87"/>
      <c r="M537" s="97"/>
      <c r="N537" s="87"/>
      <c r="O537" s="87"/>
      <c r="P537" s="87"/>
      <c r="Q537" s="87"/>
      <c r="R537" s="87"/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87"/>
    </row>
    <row r="538">
      <c r="A538" s="87"/>
      <c r="B538" s="87"/>
      <c r="C538" s="87"/>
      <c r="D538" s="87"/>
      <c r="E538" s="87"/>
      <c r="F538" s="87"/>
      <c r="G538" s="87"/>
      <c r="H538" s="87"/>
      <c r="I538" s="87"/>
      <c r="J538" s="87"/>
      <c r="K538" s="87"/>
      <c r="L538" s="87"/>
      <c r="M538" s="97"/>
      <c r="N538" s="87"/>
      <c r="O538" s="87"/>
      <c r="P538" s="87"/>
      <c r="Q538" s="87"/>
      <c r="R538" s="87"/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87"/>
    </row>
    <row r="539">
      <c r="A539" s="87"/>
      <c r="B539" s="87"/>
      <c r="C539" s="87"/>
      <c r="D539" s="87"/>
      <c r="E539" s="87"/>
      <c r="F539" s="87"/>
      <c r="G539" s="87"/>
      <c r="H539" s="87"/>
      <c r="I539" s="87"/>
      <c r="J539" s="87"/>
      <c r="K539" s="87"/>
      <c r="L539" s="87"/>
      <c r="M539" s="97"/>
      <c r="N539" s="87"/>
      <c r="O539" s="87"/>
      <c r="P539" s="87"/>
      <c r="Q539" s="87"/>
      <c r="R539" s="87"/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87"/>
    </row>
    <row r="540">
      <c r="A540" s="87"/>
      <c r="B540" s="87"/>
      <c r="C540" s="87"/>
      <c r="D540" s="87"/>
      <c r="E540" s="87"/>
      <c r="F540" s="87"/>
      <c r="G540" s="87"/>
      <c r="H540" s="87"/>
      <c r="I540" s="87"/>
      <c r="J540" s="87"/>
      <c r="K540" s="87"/>
      <c r="L540" s="87"/>
      <c r="M540" s="97"/>
      <c r="N540" s="87"/>
      <c r="O540" s="87"/>
      <c r="P540" s="87"/>
      <c r="Q540" s="87"/>
      <c r="R540" s="87"/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87"/>
    </row>
    <row r="541">
      <c r="A541" s="87"/>
      <c r="B541" s="87"/>
      <c r="C541" s="87"/>
      <c r="D541" s="87"/>
      <c r="E541" s="87"/>
      <c r="F541" s="87"/>
      <c r="G541" s="87"/>
      <c r="H541" s="87"/>
      <c r="I541" s="87"/>
      <c r="J541" s="87"/>
      <c r="K541" s="87"/>
      <c r="L541" s="87"/>
      <c r="M541" s="97"/>
      <c r="N541" s="87"/>
      <c r="O541" s="87"/>
      <c r="P541" s="87"/>
      <c r="Q541" s="87"/>
      <c r="R541" s="87"/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87"/>
    </row>
    <row r="542">
      <c r="A542" s="87"/>
      <c r="B542" s="87"/>
      <c r="C542" s="87"/>
      <c r="D542" s="87"/>
      <c r="E542" s="87"/>
      <c r="F542" s="87"/>
      <c r="G542" s="87"/>
      <c r="H542" s="87"/>
      <c r="I542" s="87"/>
      <c r="J542" s="87"/>
      <c r="K542" s="87"/>
      <c r="L542" s="87"/>
      <c r="M542" s="97"/>
      <c r="N542" s="87"/>
      <c r="O542" s="87"/>
      <c r="P542" s="87"/>
      <c r="Q542" s="87"/>
      <c r="R542" s="87"/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87"/>
    </row>
    <row r="543">
      <c r="A543" s="87"/>
      <c r="B543" s="87"/>
      <c r="C543" s="87"/>
      <c r="D543" s="87"/>
      <c r="E543" s="87"/>
      <c r="F543" s="87"/>
      <c r="G543" s="87"/>
      <c r="H543" s="87"/>
      <c r="I543" s="87"/>
      <c r="J543" s="87"/>
      <c r="K543" s="87"/>
      <c r="L543" s="87"/>
      <c r="M543" s="97"/>
      <c r="N543" s="87"/>
      <c r="O543" s="87"/>
      <c r="P543" s="87"/>
      <c r="Q543" s="87"/>
      <c r="R543" s="87"/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87"/>
    </row>
    <row r="544">
      <c r="A544" s="87"/>
      <c r="B544" s="87"/>
      <c r="C544" s="87"/>
      <c r="D544" s="87"/>
      <c r="E544" s="87"/>
      <c r="F544" s="87"/>
      <c r="G544" s="87"/>
      <c r="H544" s="87"/>
      <c r="I544" s="87"/>
      <c r="J544" s="87"/>
      <c r="K544" s="87"/>
      <c r="L544" s="87"/>
      <c r="M544" s="97"/>
      <c r="N544" s="87"/>
      <c r="O544" s="87"/>
      <c r="P544" s="87"/>
      <c r="Q544" s="87"/>
      <c r="R544" s="87"/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87"/>
    </row>
    <row r="545">
      <c r="A545" s="87"/>
      <c r="B545" s="87"/>
      <c r="C545" s="87"/>
      <c r="D545" s="87"/>
      <c r="E545" s="87"/>
      <c r="F545" s="87"/>
      <c r="G545" s="87"/>
      <c r="H545" s="87"/>
      <c r="I545" s="87"/>
      <c r="J545" s="87"/>
      <c r="K545" s="87"/>
      <c r="L545" s="87"/>
      <c r="M545" s="97"/>
      <c r="N545" s="87"/>
      <c r="O545" s="87"/>
      <c r="P545" s="87"/>
      <c r="Q545" s="87"/>
      <c r="R545" s="87"/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87"/>
    </row>
    <row r="546">
      <c r="A546" s="87"/>
      <c r="B546" s="87"/>
      <c r="C546" s="87"/>
      <c r="D546" s="87"/>
      <c r="E546" s="87"/>
      <c r="F546" s="87"/>
      <c r="G546" s="87"/>
      <c r="H546" s="87"/>
      <c r="I546" s="87"/>
      <c r="J546" s="87"/>
      <c r="K546" s="87"/>
      <c r="L546" s="87"/>
      <c r="M546" s="97"/>
      <c r="N546" s="87"/>
      <c r="O546" s="87"/>
      <c r="P546" s="87"/>
      <c r="Q546" s="87"/>
      <c r="R546" s="87"/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87"/>
    </row>
    <row r="547">
      <c r="A547" s="87"/>
      <c r="B547" s="87"/>
      <c r="C547" s="87"/>
      <c r="D547" s="87"/>
      <c r="E547" s="87"/>
      <c r="F547" s="87"/>
      <c r="G547" s="87"/>
      <c r="H547" s="87"/>
      <c r="I547" s="87"/>
      <c r="J547" s="87"/>
      <c r="K547" s="87"/>
      <c r="L547" s="87"/>
      <c r="M547" s="97"/>
      <c r="N547" s="87"/>
      <c r="O547" s="87"/>
      <c r="P547" s="87"/>
      <c r="Q547" s="87"/>
      <c r="R547" s="87"/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87"/>
    </row>
    <row r="548">
      <c r="A548" s="87"/>
      <c r="B548" s="87"/>
      <c r="C548" s="87"/>
      <c r="D548" s="87"/>
      <c r="E548" s="87"/>
      <c r="F548" s="87"/>
      <c r="G548" s="87"/>
      <c r="H548" s="87"/>
      <c r="I548" s="87"/>
      <c r="J548" s="87"/>
      <c r="K548" s="87"/>
      <c r="L548" s="87"/>
      <c r="M548" s="97"/>
      <c r="N548" s="87"/>
      <c r="O548" s="87"/>
      <c r="P548" s="87"/>
      <c r="Q548" s="87"/>
      <c r="R548" s="87"/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87"/>
    </row>
    <row r="549">
      <c r="A549" s="87"/>
      <c r="B549" s="87"/>
      <c r="C549" s="87"/>
      <c r="D549" s="87"/>
      <c r="E549" s="87"/>
      <c r="F549" s="87"/>
      <c r="G549" s="87"/>
      <c r="H549" s="87"/>
      <c r="I549" s="87"/>
      <c r="J549" s="87"/>
      <c r="K549" s="87"/>
      <c r="L549" s="87"/>
      <c r="M549" s="97"/>
      <c r="N549" s="87"/>
      <c r="O549" s="87"/>
      <c r="P549" s="87"/>
      <c r="Q549" s="87"/>
      <c r="R549" s="87"/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87"/>
    </row>
    <row r="550">
      <c r="A550" s="87"/>
      <c r="B550" s="87"/>
      <c r="C550" s="87"/>
      <c r="D550" s="87"/>
      <c r="E550" s="87"/>
      <c r="F550" s="87"/>
      <c r="G550" s="87"/>
      <c r="H550" s="87"/>
      <c r="I550" s="87"/>
      <c r="J550" s="87"/>
      <c r="K550" s="87"/>
      <c r="L550" s="87"/>
      <c r="M550" s="97"/>
      <c r="N550" s="87"/>
      <c r="O550" s="87"/>
      <c r="P550" s="87"/>
      <c r="Q550" s="87"/>
      <c r="R550" s="87"/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7"/>
    </row>
    <row r="551">
      <c r="A551" s="87"/>
      <c r="B551" s="87"/>
      <c r="C551" s="87"/>
      <c r="D551" s="87"/>
      <c r="E551" s="87"/>
      <c r="F551" s="87"/>
      <c r="G551" s="87"/>
      <c r="H551" s="87"/>
      <c r="I551" s="87"/>
      <c r="J551" s="87"/>
      <c r="K551" s="87"/>
      <c r="L551" s="87"/>
      <c r="M551" s="97"/>
      <c r="N551" s="87"/>
      <c r="O551" s="87"/>
      <c r="P551" s="87"/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</row>
    <row r="552">
      <c r="A552" s="87"/>
      <c r="B552" s="87"/>
      <c r="C552" s="87"/>
      <c r="D552" s="87"/>
      <c r="E552" s="87"/>
      <c r="F552" s="87"/>
      <c r="G552" s="87"/>
      <c r="H552" s="87"/>
      <c r="I552" s="87"/>
      <c r="J552" s="87"/>
      <c r="K552" s="87"/>
      <c r="L552" s="87"/>
      <c r="M552" s="97"/>
      <c r="N552" s="87"/>
      <c r="O552" s="87"/>
      <c r="P552" s="87"/>
      <c r="Q552" s="87"/>
      <c r="R552" s="87"/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87"/>
    </row>
    <row r="553">
      <c r="A553" s="87"/>
      <c r="B553" s="87"/>
      <c r="C553" s="87"/>
      <c r="D553" s="87"/>
      <c r="E553" s="87"/>
      <c r="F553" s="87"/>
      <c r="G553" s="87"/>
      <c r="H553" s="87"/>
      <c r="I553" s="87"/>
      <c r="J553" s="87"/>
      <c r="K553" s="87"/>
      <c r="L553" s="87"/>
      <c r="M553" s="97"/>
      <c r="N553" s="87"/>
      <c r="O553" s="87"/>
      <c r="P553" s="87"/>
      <c r="Q553" s="87"/>
      <c r="R553" s="87"/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87"/>
    </row>
    <row r="554">
      <c r="A554" s="87"/>
      <c r="B554" s="87"/>
      <c r="C554" s="87"/>
      <c r="D554" s="87"/>
      <c r="E554" s="87"/>
      <c r="F554" s="87"/>
      <c r="G554" s="87"/>
      <c r="H554" s="87"/>
      <c r="I554" s="87"/>
      <c r="J554" s="87"/>
      <c r="K554" s="87"/>
      <c r="L554" s="87"/>
      <c r="M554" s="97"/>
      <c r="N554" s="87"/>
      <c r="O554" s="87"/>
      <c r="P554" s="87"/>
      <c r="Q554" s="87"/>
      <c r="R554" s="87"/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87"/>
    </row>
    <row r="555">
      <c r="A555" s="87"/>
      <c r="B555" s="87"/>
      <c r="C555" s="87"/>
      <c r="D555" s="87"/>
      <c r="E555" s="87"/>
      <c r="F555" s="87"/>
      <c r="G555" s="87"/>
      <c r="H555" s="87"/>
      <c r="I555" s="87"/>
      <c r="J555" s="87"/>
      <c r="K555" s="87"/>
      <c r="L555" s="87"/>
      <c r="M555" s="97"/>
      <c r="N555" s="87"/>
      <c r="O555" s="87"/>
      <c r="P555" s="87"/>
      <c r="Q555" s="87"/>
      <c r="R555" s="87"/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87"/>
    </row>
    <row r="556">
      <c r="A556" s="87"/>
      <c r="B556" s="87"/>
      <c r="C556" s="87"/>
      <c r="D556" s="87"/>
      <c r="E556" s="87"/>
      <c r="F556" s="87"/>
      <c r="G556" s="87"/>
      <c r="H556" s="87"/>
      <c r="I556" s="87"/>
      <c r="J556" s="87"/>
      <c r="K556" s="87"/>
      <c r="L556" s="87"/>
      <c r="M556" s="97"/>
      <c r="N556" s="87"/>
      <c r="O556" s="87"/>
      <c r="P556" s="87"/>
      <c r="Q556" s="87"/>
      <c r="R556" s="87"/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87"/>
    </row>
    <row r="557">
      <c r="A557" s="87"/>
      <c r="B557" s="87"/>
      <c r="C557" s="87"/>
      <c r="D557" s="87"/>
      <c r="E557" s="87"/>
      <c r="F557" s="87"/>
      <c r="G557" s="87"/>
      <c r="H557" s="87"/>
      <c r="I557" s="87"/>
      <c r="J557" s="87"/>
      <c r="K557" s="87"/>
      <c r="L557" s="87"/>
      <c r="M557" s="97"/>
      <c r="N557" s="87"/>
      <c r="O557" s="87"/>
      <c r="P557" s="87"/>
      <c r="Q557" s="87"/>
      <c r="R557" s="87"/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87"/>
    </row>
    <row r="558">
      <c r="A558" s="87"/>
      <c r="B558" s="87"/>
      <c r="C558" s="87"/>
      <c r="D558" s="87"/>
      <c r="E558" s="87"/>
      <c r="F558" s="87"/>
      <c r="G558" s="87"/>
      <c r="H558" s="87"/>
      <c r="I558" s="87"/>
      <c r="J558" s="87"/>
      <c r="K558" s="87"/>
      <c r="L558" s="87"/>
      <c r="M558" s="97"/>
      <c r="N558" s="87"/>
      <c r="O558" s="87"/>
      <c r="P558" s="87"/>
      <c r="Q558" s="87"/>
      <c r="R558" s="87"/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87"/>
    </row>
    <row r="559">
      <c r="A559" s="87"/>
      <c r="B559" s="87"/>
      <c r="C559" s="87"/>
      <c r="D559" s="87"/>
      <c r="E559" s="87"/>
      <c r="F559" s="87"/>
      <c r="G559" s="87"/>
      <c r="H559" s="87"/>
      <c r="I559" s="87"/>
      <c r="J559" s="87"/>
      <c r="K559" s="87"/>
      <c r="L559" s="87"/>
      <c r="M559" s="97"/>
      <c r="N559" s="87"/>
      <c r="O559" s="87"/>
      <c r="P559" s="87"/>
      <c r="Q559" s="87"/>
      <c r="R559" s="87"/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87"/>
    </row>
    <row r="560">
      <c r="A560" s="87"/>
      <c r="B560" s="87"/>
      <c r="C560" s="87"/>
      <c r="D560" s="87"/>
      <c r="E560" s="87"/>
      <c r="F560" s="87"/>
      <c r="G560" s="87"/>
      <c r="H560" s="87"/>
      <c r="I560" s="87"/>
      <c r="J560" s="87"/>
      <c r="K560" s="87"/>
      <c r="L560" s="87"/>
      <c r="M560" s="97"/>
      <c r="N560" s="87"/>
      <c r="O560" s="87"/>
      <c r="P560" s="87"/>
      <c r="Q560" s="87"/>
      <c r="R560" s="87"/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87"/>
    </row>
    <row r="561">
      <c r="A561" s="87"/>
      <c r="B561" s="87"/>
      <c r="C561" s="87"/>
      <c r="D561" s="87"/>
      <c r="E561" s="87"/>
      <c r="F561" s="87"/>
      <c r="G561" s="87"/>
      <c r="H561" s="87"/>
      <c r="I561" s="87"/>
      <c r="J561" s="87"/>
      <c r="K561" s="87"/>
      <c r="L561" s="87"/>
      <c r="M561" s="97"/>
      <c r="N561" s="87"/>
      <c r="O561" s="87"/>
      <c r="P561" s="87"/>
      <c r="Q561" s="87"/>
      <c r="R561" s="87"/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87"/>
    </row>
    <row r="562">
      <c r="A562" s="87"/>
      <c r="B562" s="87"/>
      <c r="C562" s="87"/>
      <c r="D562" s="87"/>
      <c r="E562" s="87"/>
      <c r="F562" s="87"/>
      <c r="G562" s="87"/>
      <c r="H562" s="87"/>
      <c r="I562" s="87"/>
      <c r="J562" s="87"/>
      <c r="K562" s="87"/>
      <c r="L562" s="87"/>
      <c r="M562" s="97"/>
      <c r="N562" s="87"/>
      <c r="O562" s="87"/>
      <c r="P562" s="87"/>
      <c r="Q562" s="87"/>
      <c r="R562" s="87"/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87"/>
    </row>
    <row r="563">
      <c r="A563" s="87"/>
      <c r="B563" s="87"/>
      <c r="C563" s="87"/>
      <c r="D563" s="87"/>
      <c r="E563" s="87"/>
      <c r="F563" s="87"/>
      <c r="G563" s="87"/>
      <c r="H563" s="87"/>
      <c r="I563" s="87"/>
      <c r="J563" s="87"/>
      <c r="K563" s="87"/>
      <c r="L563" s="87"/>
      <c r="M563" s="97"/>
      <c r="N563" s="87"/>
      <c r="O563" s="87"/>
      <c r="P563" s="87"/>
      <c r="Q563" s="87"/>
      <c r="R563" s="87"/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87"/>
    </row>
    <row r="564">
      <c r="A564" s="87"/>
      <c r="B564" s="87"/>
      <c r="C564" s="87"/>
      <c r="D564" s="87"/>
      <c r="E564" s="87"/>
      <c r="F564" s="87"/>
      <c r="G564" s="87"/>
      <c r="H564" s="87"/>
      <c r="I564" s="87"/>
      <c r="J564" s="87"/>
      <c r="K564" s="87"/>
      <c r="L564" s="87"/>
      <c r="M564" s="97"/>
      <c r="N564" s="87"/>
      <c r="O564" s="87"/>
      <c r="P564" s="87"/>
      <c r="Q564" s="87"/>
      <c r="R564" s="87"/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87"/>
    </row>
    <row r="565">
      <c r="A565" s="87"/>
      <c r="B565" s="87"/>
      <c r="C565" s="87"/>
      <c r="D565" s="87"/>
      <c r="E565" s="87"/>
      <c r="F565" s="87"/>
      <c r="G565" s="87"/>
      <c r="H565" s="87"/>
      <c r="I565" s="87"/>
      <c r="J565" s="87"/>
      <c r="K565" s="87"/>
      <c r="L565" s="87"/>
      <c r="M565" s="97"/>
      <c r="N565" s="87"/>
      <c r="O565" s="87"/>
      <c r="P565" s="87"/>
      <c r="Q565" s="87"/>
      <c r="R565" s="87"/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87"/>
    </row>
    <row r="566">
      <c r="A566" s="87"/>
      <c r="B566" s="87"/>
      <c r="C566" s="87"/>
      <c r="D566" s="87"/>
      <c r="E566" s="87"/>
      <c r="F566" s="87"/>
      <c r="G566" s="87"/>
      <c r="H566" s="87"/>
      <c r="I566" s="87"/>
      <c r="J566" s="87"/>
      <c r="K566" s="87"/>
      <c r="L566" s="87"/>
      <c r="M566" s="97"/>
      <c r="N566" s="87"/>
      <c r="O566" s="87"/>
      <c r="P566" s="87"/>
      <c r="Q566" s="87"/>
      <c r="R566" s="87"/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87"/>
    </row>
    <row r="567">
      <c r="A567" s="87"/>
      <c r="B567" s="87"/>
      <c r="C567" s="87"/>
      <c r="D567" s="87"/>
      <c r="E567" s="87"/>
      <c r="F567" s="87"/>
      <c r="G567" s="87"/>
      <c r="H567" s="87"/>
      <c r="I567" s="87"/>
      <c r="J567" s="87"/>
      <c r="K567" s="87"/>
      <c r="L567" s="87"/>
      <c r="M567" s="97"/>
      <c r="N567" s="87"/>
      <c r="O567" s="87"/>
      <c r="P567" s="87"/>
      <c r="Q567" s="87"/>
      <c r="R567" s="87"/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87"/>
    </row>
    <row r="568">
      <c r="A568" s="87"/>
      <c r="B568" s="87"/>
      <c r="C568" s="87"/>
      <c r="D568" s="87"/>
      <c r="E568" s="87"/>
      <c r="F568" s="87"/>
      <c r="G568" s="87"/>
      <c r="H568" s="87"/>
      <c r="I568" s="87"/>
      <c r="J568" s="87"/>
      <c r="K568" s="87"/>
      <c r="L568" s="87"/>
      <c r="M568" s="97"/>
      <c r="N568" s="87"/>
      <c r="O568" s="87"/>
      <c r="P568" s="87"/>
      <c r="Q568" s="87"/>
      <c r="R568" s="87"/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87"/>
    </row>
    <row r="569">
      <c r="A569" s="87"/>
      <c r="B569" s="87"/>
      <c r="C569" s="87"/>
      <c r="D569" s="87"/>
      <c r="E569" s="87"/>
      <c r="F569" s="87"/>
      <c r="G569" s="87"/>
      <c r="H569" s="87"/>
      <c r="I569" s="87"/>
      <c r="J569" s="87"/>
      <c r="K569" s="87"/>
      <c r="L569" s="87"/>
      <c r="M569" s="97"/>
      <c r="N569" s="87"/>
      <c r="O569" s="87"/>
      <c r="P569" s="87"/>
      <c r="Q569" s="87"/>
      <c r="R569" s="87"/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87"/>
    </row>
    <row r="570">
      <c r="A570" s="87"/>
      <c r="B570" s="87"/>
      <c r="C570" s="87"/>
      <c r="D570" s="87"/>
      <c r="E570" s="87"/>
      <c r="F570" s="87"/>
      <c r="G570" s="87"/>
      <c r="H570" s="87"/>
      <c r="I570" s="87"/>
      <c r="J570" s="87"/>
      <c r="K570" s="87"/>
      <c r="L570" s="87"/>
      <c r="M570" s="97"/>
      <c r="N570" s="87"/>
      <c r="O570" s="87"/>
      <c r="P570" s="87"/>
      <c r="Q570" s="87"/>
      <c r="R570" s="87"/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87"/>
    </row>
    <row r="571">
      <c r="A571" s="87"/>
      <c r="B571" s="87"/>
      <c r="C571" s="87"/>
      <c r="D571" s="87"/>
      <c r="E571" s="87"/>
      <c r="F571" s="87"/>
      <c r="G571" s="87"/>
      <c r="H571" s="87"/>
      <c r="I571" s="87"/>
      <c r="J571" s="87"/>
      <c r="K571" s="87"/>
      <c r="L571" s="87"/>
      <c r="M571" s="97"/>
      <c r="N571" s="87"/>
      <c r="O571" s="87"/>
      <c r="P571" s="87"/>
      <c r="Q571" s="87"/>
      <c r="R571" s="87"/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87"/>
    </row>
    <row r="572">
      <c r="A572" s="87"/>
      <c r="B572" s="87"/>
      <c r="C572" s="87"/>
      <c r="D572" s="87"/>
      <c r="E572" s="87"/>
      <c r="F572" s="87"/>
      <c r="G572" s="87"/>
      <c r="H572" s="87"/>
      <c r="I572" s="87"/>
      <c r="J572" s="87"/>
      <c r="K572" s="87"/>
      <c r="L572" s="87"/>
      <c r="M572" s="97"/>
      <c r="N572" s="87"/>
      <c r="O572" s="87"/>
      <c r="P572" s="87"/>
      <c r="Q572" s="87"/>
      <c r="R572" s="87"/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87"/>
    </row>
    <row r="573">
      <c r="A573" s="87"/>
      <c r="B573" s="87"/>
      <c r="C573" s="87"/>
      <c r="D573" s="87"/>
      <c r="E573" s="87"/>
      <c r="F573" s="87"/>
      <c r="G573" s="87"/>
      <c r="H573" s="87"/>
      <c r="I573" s="87"/>
      <c r="J573" s="87"/>
      <c r="K573" s="87"/>
      <c r="L573" s="87"/>
      <c r="M573" s="97"/>
      <c r="N573" s="87"/>
      <c r="O573" s="87"/>
      <c r="P573" s="87"/>
      <c r="Q573" s="87"/>
      <c r="R573" s="87"/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87"/>
    </row>
    <row r="574">
      <c r="A574" s="87"/>
      <c r="B574" s="87"/>
      <c r="C574" s="87"/>
      <c r="D574" s="87"/>
      <c r="E574" s="87"/>
      <c r="F574" s="87"/>
      <c r="G574" s="87"/>
      <c r="H574" s="87"/>
      <c r="I574" s="87"/>
      <c r="J574" s="87"/>
      <c r="K574" s="87"/>
      <c r="L574" s="87"/>
      <c r="M574" s="97"/>
      <c r="N574" s="87"/>
      <c r="O574" s="87"/>
      <c r="P574" s="87"/>
      <c r="Q574" s="87"/>
      <c r="R574" s="87"/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87"/>
    </row>
    <row r="575">
      <c r="A575" s="87"/>
      <c r="B575" s="87"/>
      <c r="C575" s="87"/>
      <c r="D575" s="87"/>
      <c r="E575" s="87"/>
      <c r="F575" s="87"/>
      <c r="G575" s="87"/>
      <c r="H575" s="87"/>
      <c r="I575" s="87"/>
      <c r="J575" s="87"/>
      <c r="K575" s="87"/>
      <c r="L575" s="87"/>
      <c r="M575" s="97"/>
      <c r="N575" s="87"/>
      <c r="O575" s="87"/>
      <c r="P575" s="87"/>
      <c r="Q575" s="87"/>
      <c r="R575" s="87"/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87"/>
    </row>
    <row r="576">
      <c r="A576" s="87"/>
      <c r="B576" s="87"/>
      <c r="C576" s="87"/>
      <c r="D576" s="87"/>
      <c r="E576" s="87"/>
      <c r="F576" s="87"/>
      <c r="G576" s="87"/>
      <c r="H576" s="87"/>
      <c r="I576" s="87"/>
      <c r="J576" s="87"/>
      <c r="K576" s="87"/>
      <c r="L576" s="87"/>
      <c r="M576" s="97"/>
      <c r="N576" s="87"/>
      <c r="O576" s="87"/>
      <c r="P576" s="87"/>
      <c r="Q576" s="87"/>
      <c r="R576" s="87"/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87"/>
    </row>
    <row r="577">
      <c r="A577" s="87"/>
      <c r="B577" s="87"/>
      <c r="C577" s="87"/>
      <c r="D577" s="87"/>
      <c r="E577" s="87"/>
      <c r="F577" s="87"/>
      <c r="G577" s="87"/>
      <c r="H577" s="87"/>
      <c r="I577" s="87"/>
      <c r="J577" s="87"/>
      <c r="K577" s="87"/>
      <c r="L577" s="87"/>
      <c r="M577" s="97"/>
      <c r="N577" s="87"/>
      <c r="O577" s="87"/>
      <c r="P577" s="87"/>
      <c r="Q577" s="87"/>
      <c r="R577" s="87"/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87"/>
    </row>
    <row r="578">
      <c r="A578" s="87"/>
      <c r="B578" s="87"/>
      <c r="C578" s="87"/>
      <c r="D578" s="87"/>
      <c r="E578" s="87"/>
      <c r="F578" s="87"/>
      <c r="G578" s="87"/>
      <c r="H578" s="87"/>
      <c r="I578" s="87"/>
      <c r="J578" s="87"/>
      <c r="K578" s="87"/>
      <c r="L578" s="87"/>
      <c r="M578" s="97"/>
      <c r="N578" s="87"/>
      <c r="O578" s="87"/>
      <c r="P578" s="87"/>
      <c r="Q578" s="87"/>
      <c r="R578" s="87"/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87"/>
    </row>
    <row r="579">
      <c r="A579" s="87"/>
      <c r="B579" s="87"/>
      <c r="C579" s="87"/>
      <c r="D579" s="87"/>
      <c r="E579" s="87"/>
      <c r="F579" s="87"/>
      <c r="G579" s="87"/>
      <c r="H579" s="87"/>
      <c r="I579" s="87"/>
      <c r="J579" s="87"/>
      <c r="K579" s="87"/>
      <c r="L579" s="87"/>
      <c r="M579" s="97"/>
      <c r="N579" s="87"/>
      <c r="O579" s="87"/>
      <c r="P579" s="87"/>
      <c r="Q579" s="87"/>
      <c r="R579" s="87"/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87"/>
    </row>
    <row r="580">
      <c r="A580" s="87"/>
      <c r="B580" s="87"/>
      <c r="C580" s="87"/>
      <c r="D580" s="87"/>
      <c r="E580" s="87"/>
      <c r="F580" s="87"/>
      <c r="G580" s="87"/>
      <c r="H580" s="87"/>
      <c r="I580" s="87"/>
      <c r="J580" s="87"/>
      <c r="K580" s="87"/>
      <c r="L580" s="87"/>
      <c r="M580" s="97"/>
      <c r="N580" s="87"/>
      <c r="O580" s="87"/>
      <c r="P580" s="87"/>
      <c r="Q580" s="87"/>
      <c r="R580" s="87"/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87"/>
    </row>
    <row r="581">
      <c r="A581" s="87"/>
      <c r="B581" s="87"/>
      <c r="C581" s="87"/>
      <c r="D581" s="87"/>
      <c r="E581" s="87"/>
      <c r="F581" s="87"/>
      <c r="G581" s="87"/>
      <c r="H581" s="87"/>
      <c r="I581" s="87"/>
      <c r="J581" s="87"/>
      <c r="K581" s="87"/>
      <c r="L581" s="87"/>
      <c r="M581" s="97"/>
      <c r="N581" s="87"/>
      <c r="O581" s="87"/>
      <c r="P581" s="87"/>
      <c r="Q581" s="87"/>
      <c r="R581" s="87"/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87"/>
    </row>
    <row r="582">
      <c r="A582" s="87"/>
      <c r="B582" s="87"/>
      <c r="C582" s="87"/>
      <c r="D582" s="87"/>
      <c r="E582" s="87"/>
      <c r="F582" s="87"/>
      <c r="G582" s="87"/>
      <c r="H582" s="87"/>
      <c r="I582" s="87"/>
      <c r="J582" s="87"/>
      <c r="K582" s="87"/>
      <c r="L582" s="87"/>
      <c r="M582" s="97"/>
      <c r="N582" s="87"/>
      <c r="O582" s="87"/>
      <c r="P582" s="87"/>
      <c r="Q582" s="87"/>
      <c r="R582" s="87"/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87"/>
    </row>
    <row r="583">
      <c r="A583" s="87"/>
      <c r="B583" s="87"/>
      <c r="C583" s="87"/>
      <c r="D583" s="87"/>
      <c r="E583" s="87"/>
      <c r="F583" s="87"/>
      <c r="G583" s="87"/>
      <c r="H583" s="87"/>
      <c r="I583" s="87"/>
      <c r="J583" s="87"/>
      <c r="K583" s="87"/>
      <c r="L583" s="87"/>
      <c r="M583" s="97"/>
      <c r="N583" s="87"/>
      <c r="O583" s="87"/>
      <c r="P583" s="87"/>
      <c r="Q583" s="87"/>
      <c r="R583" s="87"/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87"/>
    </row>
    <row r="584">
      <c r="A584" s="87"/>
      <c r="B584" s="87"/>
      <c r="C584" s="87"/>
      <c r="D584" s="87"/>
      <c r="E584" s="87"/>
      <c r="F584" s="87"/>
      <c r="G584" s="87"/>
      <c r="H584" s="87"/>
      <c r="I584" s="87"/>
      <c r="J584" s="87"/>
      <c r="K584" s="87"/>
      <c r="L584" s="87"/>
      <c r="M584" s="97"/>
      <c r="N584" s="87"/>
      <c r="O584" s="87"/>
      <c r="P584" s="87"/>
      <c r="Q584" s="87"/>
      <c r="R584" s="87"/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87"/>
    </row>
    <row r="585">
      <c r="A585" s="87"/>
      <c r="B585" s="87"/>
      <c r="C585" s="87"/>
      <c r="D585" s="87"/>
      <c r="E585" s="87"/>
      <c r="F585" s="87"/>
      <c r="G585" s="87"/>
      <c r="H585" s="87"/>
      <c r="I585" s="87"/>
      <c r="J585" s="87"/>
      <c r="K585" s="87"/>
      <c r="L585" s="87"/>
      <c r="M585" s="97"/>
      <c r="N585" s="87"/>
      <c r="O585" s="87"/>
      <c r="P585" s="87"/>
      <c r="Q585" s="87"/>
      <c r="R585" s="87"/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87"/>
    </row>
    <row r="586">
      <c r="A586" s="87"/>
      <c r="B586" s="87"/>
      <c r="C586" s="87"/>
      <c r="D586" s="87"/>
      <c r="E586" s="87"/>
      <c r="F586" s="87"/>
      <c r="G586" s="87"/>
      <c r="H586" s="87"/>
      <c r="I586" s="87"/>
      <c r="J586" s="87"/>
      <c r="K586" s="87"/>
      <c r="L586" s="87"/>
      <c r="M586" s="97"/>
      <c r="N586" s="87"/>
      <c r="O586" s="87"/>
      <c r="P586" s="87"/>
      <c r="Q586" s="87"/>
      <c r="R586" s="87"/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87"/>
    </row>
    <row r="587">
      <c r="A587" s="87"/>
      <c r="B587" s="87"/>
      <c r="C587" s="87"/>
      <c r="D587" s="87"/>
      <c r="E587" s="87"/>
      <c r="F587" s="87"/>
      <c r="G587" s="87"/>
      <c r="H587" s="87"/>
      <c r="I587" s="87"/>
      <c r="J587" s="87"/>
      <c r="K587" s="87"/>
      <c r="L587" s="87"/>
      <c r="M587" s="97"/>
      <c r="N587" s="87"/>
      <c r="O587" s="87"/>
      <c r="P587" s="87"/>
      <c r="Q587" s="87"/>
      <c r="R587" s="87"/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87"/>
    </row>
    <row r="588">
      <c r="A588" s="87"/>
      <c r="B588" s="87"/>
      <c r="C588" s="87"/>
      <c r="D588" s="87"/>
      <c r="E588" s="87"/>
      <c r="F588" s="87"/>
      <c r="G588" s="87"/>
      <c r="H588" s="87"/>
      <c r="I588" s="87"/>
      <c r="J588" s="87"/>
      <c r="K588" s="87"/>
      <c r="L588" s="87"/>
      <c r="M588" s="97"/>
      <c r="N588" s="87"/>
      <c r="O588" s="87"/>
      <c r="P588" s="87"/>
      <c r="Q588" s="87"/>
      <c r="R588" s="87"/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87"/>
    </row>
    <row r="589">
      <c r="A589" s="87"/>
      <c r="B589" s="87"/>
      <c r="C589" s="87"/>
      <c r="D589" s="87"/>
      <c r="E589" s="87"/>
      <c r="F589" s="87"/>
      <c r="G589" s="87"/>
      <c r="H589" s="87"/>
      <c r="I589" s="87"/>
      <c r="J589" s="87"/>
      <c r="K589" s="87"/>
      <c r="L589" s="87"/>
      <c r="M589" s="97"/>
      <c r="N589" s="87"/>
      <c r="O589" s="87"/>
      <c r="P589" s="87"/>
      <c r="Q589" s="87"/>
      <c r="R589" s="87"/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87"/>
    </row>
    <row r="590">
      <c r="A590" s="87"/>
      <c r="B590" s="87"/>
      <c r="C590" s="87"/>
      <c r="D590" s="87"/>
      <c r="E590" s="87"/>
      <c r="F590" s="87"/>
      <c r="G590" s="87"/>
      <c r="H590" s="87"/>
      <c r="I590" s="87"/>
      <c r="J590" s="87"/>
      <c r="K590" s="87"/>
      <c r="L590" s="87"/>
      <c r="M590" s="97"/>
      <c r="N590" s="87"/>
      <c r="O590" s="87"/>
      <c r="P590" s="87"/>
      <c r="Q590" s="87"/>
      <c r="R590" s="87"/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87"/>
    </row>
    <row r="591">
      <c r="A591" s="87"/>
      <c r="B591" s="87"/>
      <c r="C591" s="87"/>
      <c r="D591" s="87"/>
      <c r="E591" s="87"/>
      <c r="F591" s="87"/>
      <c r="G591" s="87"/>
      <c r="H591" s="87"/>
      <c r="I591" s="87"/>
      <c r="J591" s="87"/>
      <c r="K591" s="87"/>
      <c r="L591" s="87"/>
      <c r="M591" s="97"/>
      <c r="N591" s="87"/>
      <c r="O591" s="87"/>
      <c r="P591" s="87"/>
      <c r="Q591" s="87"/>
      <c r="R591" s="87"/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87"/>
    </row>
    <row r="592">
      <c r="A592" s="87"/>
      <c r="B592" s="87"/>
      <c r="C592" s="87"/>
      <c r="D592" s="87"/>
      <c r="E592" s="87"/>
      <c r="F592" s="87"/>
      <c r="G592" s="87"/>
      <c r="H592" s="87"/>
      <c r="I592" s="87"/>
      <c r="J592" s="87"/>
      <c r="K592" s="87"/>
      <c r="L592" s="87"/>
      <c r="M592" s="97"/>
      <c r="N592" s="87"/>
      <c r="O592" s="87"/>
      <c r="P592" s="87"/>
      <c r="Q592" s="87"/>
      <c r="R592" s="87"/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87"/>
    </row>
    <row r="593">
      <c r="A593" s="87"/>
      <c r="B593" s="87"/>
      <c r="C593" s="87"/>
      <c r="D593" s="87"/>
      <c r="E593" s="87"/>
      <c r="F593" s="87"/>
      <c r="G593" s="87"/>
      <c r="H593" s="87"/>
      <c r="I593" s="87"/>
      <c r="J593" s="87"/>
      <c r="K593" s="87"/>
      <c r="L593" s="87"/>
      <c r="M593" s="97"/>
      <c r="N593" s="87"/>
      <c r="O593" s="87"/>
      <c r="P593" s="87"/>
      <c r="Q593" s="87"/>
      <c r="R593" s="87"/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87"/>
    </row>
    <row r="594">
      <c r="A594" s="87"/>
      <c r="B594" s="87"/>
      <c r="C594" s="87"/>
      <c r="D594" s="87"/>
      <c r="E594" s="87"/>
      <c r="F594" s="87"/>
      <c r="G594" s="87"/>
      <c r="H594" s="87"/>
      <c r="I594" s="87"/>
      <c r="J594" s="87"/>
      <c r="K594" s="87"/>
      <c r="L594" s="87"/>
      <c r="M594" s="97"/>
      <c r="N594" s="87"/>
      <c r="O594" s="87"/>
      <c r="P594" s="87"/>
      <c r="Q594" s="87"/>
      <c r="R594" s="87"/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87"/>
    </row>
    <row r="595">
      <c r="A595" s="87"/>
      <c r="B595" s="87"/>
      <c r="C595" s="87"/>
      <c r="D595" s="87"/>
      <c r="E595" s="87"/>
      <c r="F595" s="87"/>
      <c r="G595" s="87"/>
      <c r="H595" s="87"/>
      <c r="I595" s="87"/>
      <c r="J595" s="87"/>
      <c r="K595" s="87"/>
      <c r="L595" s="87"/>
      <c r="M595" s="97"/>
      <c r="N595" s="87"/>
      <c r="O595" s="87"/>
      <c r="P595" s="87"/>
      <c r="Q595" s="87"/>
      <c r="R595" s="87"/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87"/>
    </row>
    <row r="596">
      <c r="A596" s="87"/>
      <c r="B596" s="87"/>
      <c r="C596" s="87"/>
      <c r="D596" s="87"/>
      <c r="E596" s="87"/>
      <c r="F596" s="87"/>
      <c r="G596" s="87"/>
      <c r="H596" s="87"/>
      <c r="I596" s="87"/>
      <c r="J596" s="87"/>
      <c r="K596" s="87"/>
      <c r="L596" s="87"/>
      <c r="M596" s="97"/>
      <c r="N596" s="87"/>
      <c r="O596" s="87"/>
      <c r="P596" s="87"/>
      <c r="Q596" s="87"/>
      <c r="R596" s="87"/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87"/>
    </row>
    <row r="597">
      <c r="A597" s="87"/>
      <c r="B597" s="87"/>
      <c r="C597" s="87"/>
      <c r="D597" s="87"/>
      <c r="E597" s="87"/>
      <c r="F597" s="87"/>
      <c r="G597" s="87"/>
      <c r="H597" s="87"/>
      <c r="I597" s="87"/>
      <c r="J597" s="87"/>
      <c r="K597" s="87"/>
      <c r="L597" s="87"/>
      <c r="M597" s="97"/>
      <c r="N597" s="87"/>
      <c r="O597" s="87"/>
      <c r="P597" s="87"/>
      <c r="Q597" s="87"/>
      <c r="R597" s="87"/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87"/>
    </row>
    <row r="598">
      <c r="A598" s="87"/>
      <c r="B598" s="87"/>
      <c r="C598" s="87"/>
      <c r="D598" s="87"/>
      <c r="E598" s="87"/>
      <c r="F598" s="87"/>
      <c r="G598" s="87"/>
      <c r="H598" s="87"/>
      <c r="I598" s="87"/>
      <c r="J598" s="87"/>
      <c r="K598" s="87"/>
      <c r="L598" s="87"/>
      <c r="M598" s="97"/>
      <c r="N598" s="87"/>
      <c r="O598" s="87"/>
      <c r="P598" s="87"/>
      <c r="Q598" s="87"/>
      <c r="R598" s="87"/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87"/>
    </row>
    <row r="599">
      <c r="A599" s="87"/>
      <c r="B599" s="87"/>
      <c r="C599" s="87"/>
      <c r="D599" s="87"/>
      <c r="E599" s="87"/>
      <c r="F599" s="87"/>
      <c r="G599" s="87"/>
      <c r="H599" s="87"/>
      <c r="I599" s="87"/>
      <c r="J599" s="87"/>
      <c r="K599" s="87"/>
      <c r="L599" s="87"/>
      <c r="M599" s="97"/>
      <c r="N599" s="87"/>
      <c r="O599" s="87"/>
      <c r="P599" s="87"/>
      <c r="Q599" s="87"/>
      <c r="R599" s="87"/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87"/>
    </row>
    <row r="600">
      <c r="A600" s="87"/>
      <c r="B600" s="87"/>
      <c r="C600" s="87"/>
      <c r="D600" s="87"/>
      <c r="E600" s="87"/>
      <c r="F600" s="87"/>
      <c r="G600" s="87"/>
      <c r="H600" s="87"/>
      <c r="I600" s="87"/>
      <c r="J600" s="87"/>
      <c r="K600" s="87"/>
      <c r="L600" s="87"/>
      <c r="M600" s="97"/>
      <c r="N600" s="87"/>
      <c r="O600" s="87"/>
      <c r="P600" s="87"/>
      <c r="Q600" s="87"/>
      <c r="R600" s="87"/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87"/>
    </row>
    <row r="601">
      <c r="A601" s="87"/>
      <c r="B601" s="87"/>
      <c r="C601" s="87"/>
      <c r="D601" s="87"/>
      <c r="E601" s="87"/>
      <c r="F601" s="87"/>
      <c r="G601" s="87"/>
      <c r="H601" s="87"/>
      <c r="I601" s="87"/>
      <c r="J601" s="87"/>
      <c r="K601" s="87"/>
      <c r="L601" s="87"/>
      <c r="M601" s="97"/>
      <c r="N601" s="87"/>
      <c r="O601" s="87"/>
      <c r="P601" s="87"/>
      <c r="Q601" s="87"/>
      <c r="R601" s="87"/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87"/>
    </row>
    <row r="602">
      <c r="A602" s="87"/>
      <c r="B602" s="87"/>
      <c r="C602" s="87"/>
      <c r="D602" s="87"/>
      <c r="E602" s="87"/>
      <c r="F602" s="87"/>
      <c r="G602" s="87"/>
      <c r="H602" s="87"/>
      <c r="I602" s="87"/>
      <c r="J602" s="87"/>
      <c r="K602" s="87"/>
      <c r="L602" s="87"/>
      <c r="M602" s="97"/>
      <c r="N602" s="87"/>
      <c r="O602" s="87"/>
      <c r="P602" s="87"/>
      <c r="Q602" s="87"/>
      <c r="R602" s="87"/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87"/>
    </row>
    <row r="603">
      <c r="A603" s="87"/>
      <c r="B603" s="87"/>
      <c r="C603" s="87"/>
      <c r="D603" s="87"/>
      <c r="E603" s="87"/>
      <c r="F603" s="87"/>
      <c r="G603" s="87"/>
      <c r="H603" s="87"/>
      <c r="I603" s="87"/>
      <c r="J603" s="87"/>
      <c r="K603" s="87"/>
      <c r="L603" s="87"/>
      <c r="M603" s="97"/>
      <c r="N603" s="87"/>
      <c r="O603" s="87"/>
      <c r="P603" s="87"/>
      <c r="Q603" s="87"/>
      <c r="R603" s="87"/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87"/>
    </row>
    <row r="604">
      <c r="A604" s="87"/>
      <c r="B604" s="87"/>
      <c r="C604" s="87"/>
      <c r="D604" s="87"/>
      <c r="E604" s="87"/>
      <c r="F604" s="87"/>
      <c r="G604" s="87"/>
      <c r="H604" s="87"/>
      <c r="I604" s="87"/>
      <c r="J604" s="87"/>
      <c r="K604" s="87"/>
      <c r="L604" s="87"/>
      <c r="M604" s="97"/>
      <c r="N604" s="87"/>
      <c r="O604" s="87"/>
      <c r="P604" s="87"/>
      <c r="Q604" s="87"/>
      <c r="R604" s="87"/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87"/>
    </row>
    <row r="605">
      <c r="A605" s="87"/>
      <c r="B605" s="87"/>
      <c r="C605" s="87"/>
      <c r="D605" s="87"/>
      <c r="E605" s="87"/>
      <c r="F605" s="87"/>
      <c r="G605" s="87"/>
      <c r="H605" s="87"/>
      <c r="I605" s="87"/>
      <c r="J605" s="87"/>
      <c r="K605" s="87"/>
      <c r="L605" s="87"/>
      <c r="M605" s="97"/>
      <c r="N605" s="87"/>
      <c r="O605" s="87"/>
      <c r="P605" s="87"/>
      <c r="Q605" s="87"/>
      <c r="R605" s="87"/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87"/>
    </row>
    <row r="606">
      <c r="A606" s="87"/>
      <c r="B606" s="87"/>
      <c r="C606" s="87"/>
      <c r="D606" s="87"/>
      <c r="E606" s="87"/>
      <c r="F606" s="87"/>
      <c r="G606" s="87"/>
      <c r="H606" s="87"/>
      <c r="I606" s="87"/>
      <c r="J606" s="87"/>
      <c r="K606" s="87"/>
      <c r="L606" s="87"/>
      <c r="M606" s="97"/>
      <c r="N606" s="87"/>
      <c r="O606" s="87"/>
      <c r="P606" s="87"/>
      <c r="Q606" s="87"/>
      <c r="R606" s="87"/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87"/>
    </row>
    <row r="607">
      <c r="A607" s="87"/>
      <c r="B607" s="87"/>
      <c r="C607" s="87"/>
      <c r="D607" s="87"/>
      <c r="E607" s="87"/>
      <c r="F607" s="87"/>
      <c r="G607" s="87"/>
      <c r="H607" s="87"/>
      <c r="I607" s="87"/>
      <c r="J607" s="87"/>
      <c r="K607" s="87"/>
      <c r="L607" s="87"/>
      <c r="M607" s="97"/>
      <c r="N607" s="87"/>
      <c r="O607" s="87"/>
      <c r="P607" s="87"/>
      <c r="Q607" s="87"/>
      <c r="R607" s="87"/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87"/>
    </row>
    <row r="608">
      <c r="A608" s="87"/>
      <c r="B608" s="87"/>
      <c r="C608" s="87"/>
      <c r="D608" s="87"/>
      <c r="E608" s="87"/>
      <c r="F608" s="87"/>
      <c r="G608" s="87"/>
      <c r="H608" s="87"/>
      <c r="I608" s="87"/>
      <c r="J608" s="87"/>
      <c r="K608" s="87"/>
      <c r="L608" s="87"/>
      <c r="M608" s="9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87"/>
    </row>
    <row r="609">
      <c r="A609" s="87"/>
      <c r="B609" s="87"/>
      <c r="C609" s="87"/>
      <c r="D609" s="87"/>
      <c r="E609" s="87"/>
      <c r="F609" s="87"/>
      <c r="G609" s="87"/>
      <c r="H609" s="87"/>
      <c r="I609" s="87"/>
      <c r="J609" s="87"/>
      <c r="K609" s="87"/>
      <c r="L609" s="87"/>
      <c r="M609" s="97"/>
      <c r="N609" s="87"/>
      <c r="O609" s="87"/>
      <c r="P609" s="87"/>
      <c r="Q609" s="87"/>
      <c r="R609" s="87"/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87"/>
    </row>
    <row r="610">
      <c r="A610" s="87"/>
      <c r="B610" s="87"/>
      <c r="C610" s="87"/>
      <c r="D610" s="87"/>
      <c r="E610" s="87"/>
      <c r="F610" s="87"/>
      <c r="G610" s="87"/>
      <c r="H610" s="87"/>
      <c r="I610" s="87"/>
      <c r="J610" s="87"/>
      <c r="K610" s="87"/>
      <c r="L610" s="87"/>
      <c r="M610" s="97"/>
      <c r="N610" s="87"/>
      <c r="O610" s="87"/>
      <c r="P610" s="87"/>
      <c r="Q610" s="87"/>
      <c r="R610" s="87"/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87"/>
    </row>
    <row r="611">
      <c r="A611" s="87"/>
      <c r="B611" s="87"/>
      <c r="C611" s="87"/>
      <c r="D611" s="87"/>
      <c r="E611" s="87"/>
      <c r="F611" s="87"/>
      <c r="G611" s="87"/>
      <c r="H611" s="87"/>
      <c r="I611" s="87"/>
      <c r="J611" s="87"/>
      <c r="K611" s="87"/>
      <c r="L611" s="87"/>
      <c r="M611" s="9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87"/>
    </row>
    <row r="612">
      <c r="A612" s="87"/>
      <c r="B612" s="87"/>
      <c r="C612" s="87"/>
      <c r="D612" s="87"/>
      <c r="E612" s="87"/>
      <c r="F612" s="87"/>
      <c r="G612" s="87"/>
      <c r="H612" s="87"/>
      <c r="I612" s="87"/>
      <c r="J612" s="87"/>
      <c r="K612" s="87"/>
      <c r="L612" s="87"/>
      <c r="M612" s="97"/>
      <c r="N612" s="87"/>
      <c r="O612" s="87"/>
      <c r="P612" s="87"/>
      <c r="Q612" s="87"/>
      <c r="R612" s="87"/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87"/>
    </row>
    <row r="613">
      <c r="A613" s="87"/>
      <c r="B613" s="87"/>
      <c r="C613" s="87"/>
      <c r="D613" s="87"/>
      <c r="E613" s="87"/>
      <c r="F613" s="87"/>
      <c r="G613" s="87"/>
      <c r="H613" s="87"/>
      <c r="I613" s="87"/>
      <c r="J613" s="87"/>
      <c r="K613" s="87"/>
      <c r="L613" s="87"/>
      <c r="M613" s="97"/>
      <c r="N613" s="87"/>
      <c r="O613" s="87"/>
      <c r="P613" s="87"/>
      <c r="Q613" s="87"/>
      <c r="R613" s="87"/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87"/>
    </row>
    <row r="614">
      <c r="A614" s="87"/>
      <c r="B614" s="87"/>
      <c r="C614" s="87"/>
      <c r="D614" s="87"/>
      <c r="E614" s="87"/>
      <c r="F614" s="87"/>
      <c r="G614" s="87"/>
      <c r="H614" s="87"/>
      <c r="I614" s="87"/>
      <c r="J614" s="87"/>
      <c r="K614" s="87"/>
      <c r="L614" s="87"/>
      <c r="M614" s="97"/>
      <c r="N614" s="87"/>
      <c r="O614" s="87"/>
      <c r="P614" s="87"/>
      <c r="Q614" s="87"/>
      <c r="R614" s="87"/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87"/>
    </row>
    <row r="615">
      <c r="A615" s="87"/>
      <c r="B615" s="87"/>
      <c r="C615" s="87"/>
      <c r="D615" s="87"/>
      <c r="E615" s="87"/>
      <c r="F615" s="87"/>
      <c r="G615" s="87"/>
      <c r="H615" s="87"/>
      <c r="I615" s="87"/>
      <c r="J615" s="87"/>
      <c r="K615" s="87"/>
      <c r="L615" s="87"/>
      <c r="M615" s="97"/>
      <c r="N615" s="87"/>
      <c r="O615" s="87"/>
      <c r="P615" s="87"/>
      <c r="Q615" s="87"/>
      <c r="R615" s="87"/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87"/>
    </row>
    <row r="616">
      <c r="A616" s="87"/>
      <c r="B616" s="87"/>
      <c r="C616" s="87"/>
      <c r="D616" s="87"/>
      <c r="E616" s="87"/>
      <c r="F616" s="87"/>
      <c r="G616" s="87"/>
      <c r="H616" s="87"/>
      <c r="I616" s="87"/>
      <c r="J616" s="87"/>
      <c r="K616" s="87"/>
      <c r="L616" s="87"/>
      <c r="M616" s="97"/>
      <c r="N616" s="87"/>
      <c r="O616" s="87"/>
      <c r="P616" s="87"/>
      <c r="Q616" s="87"/>
      <c r="R616" s="87"/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87"/>
    </row>
    <row r="617">
      <c r="A617" s="87"/>
      <c r="B617" s="87"/>
      <c r="C617" s="87"/>
      <c r="D617" s="87"/>
      <c r="E617" s="87"/>
      <c r="F617" s="87"/>
      <c r="G617" s="87"/>
      <c r="H617" s="87"/>
      <c r="I617" s="87"/>
      <c r="J617" s="87"/>
      <c r="K617" s="87"/>
      <c r="L617" s="87"/>
      <c r="M617" s="97"/>
      <c r="N617" s="87"/>
      <c r="O617" s="87"/>
      <c r="P617" s="87"/>
      <c r="Q617" s="87"/>
      <c r="R617" s="87"/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87"/>
    </row>
    <row r="618">
      <c r="A618" s="87"/>
      <c r="B618" s="87"/>
      <c r="C618" s="87"/>
      <c r="D618" s="87"/>
      <c r="E618" s="87"/>
      <c r="F618" s="87"/>
      <c r="G618" s="87"/>
      <c r="H618" s="87"/>
      <c r="I618" s="87"/>
      <c r="J618" s="87"/>
      <c r="K618" s="87"/>
      <c r="L618" s="87"/>
      <c r="M618" s="97"/>
      <c r="N618" s="87"/>
      <c r="O618" s="87"/>
      <c r="P618" s="87"/>
      <c r="Q618" s="87"/>
      <c r="R618" s="87"/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87"/>
    </row>
    <row r="619">
      <c r="A619" s="87"/>
      <c r="B619" s="87"/>
      <c r="C619" s="87"/>
      <c r="D619" s="87"/>
      <c r="E619" s="87"/>
      <c r="F619" s="87"/>
      <c r="G619" s="87"/>
      <c r="H619" s="87"/>
      <c r="I619" s="87"/>
      <c r="J619" s="87"/>
      <c r="K619" s="87"/>
      <c r="L619" s="87"/>
      <c r="M619" s="97"/>
      <c r="N619" s="87"/>
      <c r="O619" s="87"/>
      <c r="P619" s="87"/>
      <c r="Q619" s="87"/>
      <c r="R619" s="87"/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87"/>
    </row>
    <row r="620">
      <c r="A620" s="87"/>
      <c r="B620" s="87"/>
      <c r="C620" s="87"/>
      <c r="D620" s="87"/>
      <c r="E620" s="87"/>
      <c r="F620" s="87"/>
      <c r="G620" s="87"/>
      <c r="H620" s="87"/>
      <c r="I620" s="87"/>
      <c r="J620" s="87"/>
      <c r="K620" s="87"/>
      <c r="L620" s="87"/>
      <c r="M620" s="97"/>
      <c r="N620" s="87"/>
      <c r="O620" s="87"/>
      <c r="P620" s="87"/>
      <c r="Q620" s="87"/>
      <c r="R620" s="87"/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87"/>
    </row>
    <row r="621">
      <c r="A621" s="87"/>
      <c r="B621" s="87"/>
      <c r="C621" s="87"/>
      <c r="D621" s="87"/>
      <c r="E621" s="87"/>
      <c r="F621" s="87"/>
      <c r="G621" s="87"/>
      <c r="H621" s="87"/>
      <c r="I621" s="87"/>
      <c r="J621" s="87"/>
      <c r="K621" s="87"/>
      <c r="L621" s="87"/>
      <c r="M621" s="97"/>
      <c r="N621" s="87"/>
      <c r="O621" s="87"/>
      <c r="P621" s="87"/>
      <c r="Q621" s="87"/>
      <c r="R621" s="87"/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87"/>
    </row>
    <row r="622">
      <c r="A622" s="87"/>
      <c r="B622" s="87"/>
      <c r="C622" s="87"/>
      <c r="D622" s="87"/>
      <c r="E622" s="87"/>
      <c r="F622" s="87"/>
      <c r="G622" s="87"/>
      <c r="H622" s="87"/>
      <c r="I622" s="87"/>
      <c r="J622" s="87"/>
      <c r="K622" s="87"/>
      <c r="L622" s="87"/>
      <c r="M622" s="97"/>
      <c r="N622" s="87"/>
      <c r="O622" s="87"/>
      <c r="P622" s="87"/>
      <c r="Q622" s="87"/>
      <c r="R622" s="87"/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87"/>
    </row>
    <row r="623">
      <c r="A623" s="87"/>
      <c r="B623" s="87"/>
      <c r="C623" s="87"/>
      <c r="D623" s="87"/>
      <c r="E623" s="87"/>
      <c r="F623" s="87"/>
      <c r="G623" s="87"/>
      <c r="H623" s="87"/>
      <c r="I623" s="87"/>
      <c r="J623" s="87"/>
      <c r="K623" s="87"/>
      <c r="L623" s="87"/>
      <c r="M623" s="97"/>
      <c r="N623" s="87"/>
      <c r="O623" s="87"/>
      <c r="P623" s="87"/>
      <c r="Q623" s="87"/>
      <c r="R623" s="87"/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87"/>
    </row>
    <row r="624">
      <c r="A624" s="87"/>
      <c r="B624" s="87"/>
      <c r="C624" s="87"/>
      <c r="D624" s="87"/>
      <c r="E624" s="87"/>
      <c r="F624" s="87"/>
      <c r="G624" s="87"/>
      <c r="H624" s="87"/>
      <c r="I624" s="87"/>
      <c r="J624" s="87"/>
      <c r="K624" s="87"/>
      <c r="L624" s="87"/>
      <c r="M624" s="97"/>
      <c r="N624" s="87"/>
      <c r="O624" s="87"/>
      <c r="P624" s="87"/>
      <c r="Q624" s="87"/>
      <c r="R624" s="87"/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87"/>
    </row>
    <row r="625">
      <c r="A625" s="87"/>
      <c r="B625" s="87"/>
      <c r="C625" s="87"/>
      <c r="D625" s="87"/>
      <c r="E625" s="87"/>
      <c r="F625" s="87"/>
      <c r="G625" s="87"/>
      <c r="H625" s="87"/>
      <c r="I625" s="87"/>
      <c r="J625" s="87"/>
      <c r="K625" s="87"/>
      <c r="L625" s="87"/>
      <c r="M625" s="97"/>
      <c r="N625" s="87"/>
      <c r="O625" s="87"/>
      <c r="P625" s="87"/>
      <c r="Q625" s="87"/>
      <c r="R625" s="87"/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87"/>
    </row>
    <row r="626">
      <c r="A626" s="87"/>
      <c r="B626" s="87"/>
      <c r="C626" s="87"/>
      <c r="D626" s="87"/>
      <c r="E626" s="87"/>
      <c r="F626" s="87"/>
      <c r="G626" s="87"/>
      <c r="H626" s="87"/>
      <c r="I626" s="87"/>
      <c r="J626" s="87"/>
      <c r="K626" s="87"/>
      <c r="L626" s="87"/>
      <c r="M626" s="97"/>
      <c r="N626" s="87"/>
      <c r="O626" s="87"/>
      <c r="P626" s="87"/>
      <c r="Q626" s="87"/>
      <c r="R626" s="87"/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87"/>
    </row>
    <row r="627">
      <c r="A627" s="87"/>
      <c r="B627" s="87"/>
      <c r="C627" s="87"/>
      <c r="D627" s="87"/>
      <c r="E627" s="87"/>
      <c r="F627" s="87"/>
      <c r="G627" s="87"/>
      <c r="H627" s="87"/>
      <c r="I627" s="87"/>
      <c r="J627" s="87"/>
      <c r="K627" s="87"/>
      <c r="L627" s="87"/>
      <c r="M627" s="97"/>
      <c r="N627" s="87"/>
      <c r="O627" s="87"/>
      <c r="P627" s="87"/>
      <c r="Q627" s="87"/>
      <c r="R627" s="87"/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87"/>
    </row>
    <row r="628">
      <c r="A628" s="87"/>
      <c r="B628" s="87"/>
      <c r="C628" s="87"/>
      <c r="D628" s="87"/>
      <c r="E628" s="87"/>
      <c r="F628" s="87"/>
      <c r="G628" s="87"/>
      <c r="H628" s="87"/>
      <c r="I628" s="87"/>
      <c r="J628" s="87"/>
      <c r="K628" s="87"/>
      <c r="L628" s="87"/>
      <c r="M628" s="97"/>
      <c r="N628" s="87"/>
      <c r="O628" s="87"/>
      <c r="P628" s="87"/>
      <c r="Q628" s="87"/>
      <c r="R628" s="87"/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87"/>
    </row>
    <row r="629">
      <c r="A629" s="87"/>
      <c r="B629" s="87"/>
      <c r="C629" s="87"/>
      <c r="D629" s="87"/>
      <c r="E629" s="87"/>
      <c r="F629" s="87"/>
      <c r="G629" s="87"/>
      <c r="H629" s="87"/>
      <c r="I629" s="87"/>
      <c r="J629" s="87"/>
      <c r="K629" s="87"/>
      <c r="L629" s="87"/>
      <c r="M629" s="97"/>
      <c r="N629" s="87"/>
      <c r="O629" s="87"/>
      <c r="P629" s="87"/>
      <c r="Q629" s="87"/>
      <c r="R629" s="87"/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87"/>
    </row>
    <row r="630">
      <c r="A630" s="87"/>
      <c r="B630" s="87"/>
      <c r="C630" s="87"/>
      <c r="D630" s="87"/>
      <c r="E630" s="87"/>
      <c r="F630" s="87"/>
      <c r="G630" s="87"/>
      <c r="H630" s="87"/>
      <c r="I630" s="87"/>
      <c r="J630" s="87"/>
      <c r="K630" s="87"/>
      <c r="L630" s="87"/>
      <c r="M630" s="97"/>
      <c r="N630" s="87"/>
      <c r="O630" s="87"/>
      <c r="P630" s="87"/>
      <c r="Q630" s="87"/>
      <c r="R630" s="87"/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87"/>
    </row>
    <row r="631">
      <c r="A631" s="87"/>
      <c r="B631" s="87"/>
      <c r="C631" s="87"/>
      <c r="D631" s="87"/>
      <c r="E631" s="87"/>
      <c r="F631" s="87"/>
      <c r="G631" s="87"/>
      <c r="H631" s="87"/>
      <c r="I631" s="87"/>
      <c r="J631" s="87"/>
      <c r="K631" s="87"/>
      <c r="L631" s="87"/>
      <c r="M631" s="97"/>
      <c r="N631" s="87"/>
      <c r="O631" s="87"/>
      <c r="P631" s="87"/>
      <c r="Q631" s="87"/>
      <c r="R631" s="87"/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87"/>
    </row>
    <row r="632">
      <c r="A632" s="87"/>
      <c r="B632" s="87"/>
      <c r="C632" s="87"/>
      <c r="D632" s="87"/>
      <c r="E632" s="87"/>
      <c r="F632" s="87"/>
      <c r="G632" s="87"/>
      <c r="H632" s="87"/>
      <c r="I632" s="87"/>
      <c r="J632" s="87"/>
      <c r="K632" s="87"/>
      <c r="L632" s="87"/>
      <c r="M632" s="97"/>
      <c r="N632" s="87"/>
      <c r="O632" s="87"/>
      <c r="P632" s="87"/>
      <c r="Q632" s="87"/>
      <c r="R632" s="87"/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87"/>
    </row>
    <row r="633">
      <c r="A633" s="87"/>
      <c r="B633" s="87"/>
      <c r="C633" s="87"/>
      <c r="D633" s="87"/>
      <c r="E633" s="87"/>
      <c r="F633" s="87"/>
      <c r="G633" s="87"/>
      <c r="H633" s="87"/>
      <c r="I633" s="87"/>
      <c r="J633" s="87"/>
      <c r="K633" s="87"/>
      <c r="L633" s="87"/>
      <c r="M633" s="97"/>
      <c r="N633" s="87"/>
      <c r="O633" s="87"/>
      <c r="P633" s="87"/>
      <c r="Q633" s="87"/>
      <c r="R633" s="87"/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87"/>
    </row>
    <row r="634">
      <c r="A634" s="87"/>
      <c r="B634" s="87"/>
      <c r="C634" s="87"/>
      <c r="D634" s="87"/>
      <c r="E634" s="87"/>
      <c r="F634" s="87"/>
      <c r="G634" s="87"/>
      <c r="H634" s="87"/>
      <c r="I634" s="87"/>
      <c r="J634" s="87"/>
      <c r="K634" s="87"/>
      <c r="L634" s="87"/>
      <c r="M634" s="97"/>
      <c r="N634" s="87"/>
      <c r="O634" s="87"/>
      <c r="P634" s="87"/>
      <c r="Q634" s="87"/>
      <c r="R634" s="87"/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87"/>
    </row>
    <row r="635">
      <c r="A635" s="87"/>
      <c r="B635" s="87"/>
      <c r="C635" s="87"/>
      <c r="D635" s="87"/>
      <c r="E635" s="87"/>
      <c r="F635" s="87"/>
      <c r="G635" s="87"/>
      <c r="H635" s="87"/>
      <c r="I635" s="87"/>
      <c r="J635" s="87"/>
      <c r="K635" s="87"/>
      <c r="L635" s="87"/>
      <c r="M635" s="97"/>
      <c r="N635" s="87"/>
      <c r="O635" s="87"/>
      <c r="P635" s="87"/>
      <c r="Q635" s="87"/>
      <c r="R635" s="87"/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87"/>
    </row>
    <row r="636">
      <c r="A636" s="87"/>
      <c r="B636" s="87"/>
      <c r="C636" s="87"/>
      <c r="D636" s="87"/>
      <c r="E636" s="87"/>
      <c r="F636" s="87"/>
      <c r="G636" s="87"/>
      <c r="H636" s="87"/>
      <c r="I636" s="87"/>
      <c r="J636" s="87"/>
      <c r="K636" s="87"/>
      <c r="L636" s="87"/>
      <c r="M636" s="97"/>
      <c r="N636" s="87"/>
      <c r="O636" s="87"/>
      <c r="P636" s="87"/>
      <c r="Q636" s="87"/>
      <c r="R636" s="87"/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87"/>
    </row>
    <row r="637">
      <c r="A637" s="87"/>
      <c r="B637" s="87"/>
      <c r="C637" s="87"/>
      <c r="D637" s="87"/>
      <c r="E637" s="87"/>
      <c r="F637" s="87"/>
      <c r="G637" s="87"/>
      <c r="H637" s="87"/>
      <c r="I637" s="87"/>
      <c r="J637" s="87"/>
      <c r="K637" s="87"/>
      <c r="L637" s="87"/>
      <c r="M637" s="97"/>
      <c r="N637" s="87"/>
      <c r="O637" s="87"/>
      <c r="P637" s="87"/>
      <c r="Q637" s="87"/>
      <c r="R637" s="87"/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87"/>
    </row>
    <row r="638">
      <c r="A638" s="87"/>
      <c r="B638" s="87"/>
      <c r="C638" s="87"/>
      <c r="D638" s="87"/>
      <c r="E638" s="87"/>
      <c r="F638" s="87"/>
      <c r="G638" s="87"/>
      <c r="H638" s="87"/>
      <c r="I638" s="87"/>
      <c r="J638" s="87"/>
      <c r="K638" s="87"/>
      <c r="L638" s="87"/>
      <c r="M638" s="97"/>
      <c r="N638" s="87"/>
      <c r="O638" s="87"/>
      <c r="P638" s="87"/>
      <c r="Q638" s="87"/>
      <c r="R638" s="87"/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87"/>
    </row>
    <row r="639">
      <c r="A639" s="87"/>
      <c r="B639" s="87"/>
      <c r="C639" s="87"/>
      <c r="D639" s="87"/>
      <c r="E639" s="87"/>
      <c r="F639" s="87"/>
      <c r="G639" s="87"/>
      <c r="H639" s="87"/>
      <c r="I639" s="87"/>
      <c r="J639" s="87"/>
      <c r="K639" s="87"/>
      <c r="L639" s="87"/>
      <c r="M639" s="97"/>
      <c r="N639" s="87"/>
      <c r="O639" s="87"/>
      <c r="P639" s="87"/>
      <c r="Q639" s="87"/>
      <c r="R639" s="87"/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87"/>
    </row>
    <row r="640">
      <c r="A640" s="87"/>
      <c r="B640" s="87"/>
      <c r="C640" s="87"/>
      <c r="D640" s="87"/>
      <c r="E640" s="87"/>
      <c r="F640" s="87"/>
      <c r="G640" s="87"/>
      <c r="H640" s="87"/>
      <c r="I640" s="87"/>
      <c r="J640" s="87"/>
      <c r="K640" s="87"/>
      <c r="L640" s="87"/>
      <c r="M640" s="97"/>
      <c r="N640" s="87"/>
      <c r="O640" s="87"/>
      <c r="P640" s="87"/>
      <c r="Q640" s="87"/>
      <c r="R640" s="87"/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87"/>
    </row>
    <row r="641">
      <c r="A641" s="87"/>
      <c r="B641" s="87"/>
      <c r="C641" s="87"/>
      <c r="D641" s="87"/>
      <c r="E641" s="87"/>
      <c r="F641" s="87"/>
      <c r="G641" s="87"/>
      <c r="H641" s="87"/>
      <c r="I641" s="87"/>
      <c r="J641" s="87"/>
      <c r="K641" s="87"/>
      <c r="L641" s="87"/>
      <c r="M641" s="97"/>
      <c r="N641" s="87"/>
      <c r="O641" s="87"/>
      <c r="P641" s="87"/>
      <c r="Q641" s="87"/>
      <c r="R641" s="87"/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87"/>
    </row>
    <row r="642">
      <c r="A642" s="87"/>
      <c r="B642" s="87"/>
      <c r="C642" s="87"/>
      <c r="D642" s="87"/>
      <c r="E642" s="87"/>
      <c r="F642" s="87"/>
      <c r="G642" s="87"/>
      <c r="H642" s="87"/>
      <c r="I642" s="87"/>
      <c r="J642" s="87"/>
      <c r="K642" s="87"/>
      <c r="L642" s="87"/>
      <c r="M642" s="97"/>
      <c r="N642" s="87"/>
      <c r="O642" s="87"/>
      <c r="P642" s="87"/>
      <c r="Q642" s="87"/>
      <c r="R642" s="87"/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87"/>
    </row>
    <row r="643">
      <c r="A643" s="87"/>
      <c r="B643" s="87"/>
      <c r="C643" s="87"/>
      <c r="D643" s="87"/>
      <c r="E643" s="87"/>
      <c r="F643" s="87"/>
      <c r="G643" s="87"/>
      <c r="H643" s="87"/>
      <c r="I643" s="87"/>
      <c r="J643" s="87"/>
      <c r="K643" s="87"/>
      <c r="L643" s="87"/>
      <c r="M643" s="97"/>
      <c r="N643" s="87"/>
      <c r="O643" s="87"/>
      <c r="P643" s="87"/>
      <c r="Q643" s="87"/>
      <c r="R643" s="87"/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87"/>
    </row>
    <row r="644">
      <c r="A644" s="87"/>
      <c r="B644" s="87"/>
      <c r="C644" s="87"/>
      <c r="D644" s="87"/>
      <c r="E644" s="87"/>
      <c r="F644" s="87"/>
      <c r="G644" s="87"/>
      <c r="H644" s="87"/>
      <c r="I644" s="87"/>
      <c r="J644" s="87"/>
      <c r="K644" s="87"/>
      <c r="L644" s="87"/>
      <c r="M644" s="97"/>
      <c r="N644" s="87"/>
      <c r="O644" s="87"/>
      <c r="P644" s="87"/>
      <c r="Q644" s="87"/>
      <c r="R644" s="87"/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87"/>
    </row>
    <row r="645">
      <c r="A645" s="87"/>
      <c r="B645" s="87"/>
      <c r="C645" s="87"/>
      <c r="D645" s="87"/>
      <c r="E645" s="87"/>
      <c r="F645" s="87"/>
      <c r="G645" s="87"/>
      <c r="H645" s="87"/>
      <c r="I645" s="87"/>
      <c r="J645" s="87"/>
      <c r="K645" s="87"/>
      <c r="L645" s="87"/>
      <c r="M645" s="97"/>
      <c r="N645" s="87"/>
      <c r="O645" s="87"/>
      <c r="P645" s="87"/>
      <c r="Q645" s="87"/>
      <c r="R645" s="87"/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87"/>
    </row>
    <row r="646">
      <c r="A646" s="87"/>
      <c r="B646" s="87"/>
      <c r="C646" s="87"/>
      <c r="D646" s="87"/>
      <c r="E646" s="87"/>
      <c r="F646" s="87"/>
      <c r="G646" s="87"/>
      <c r="H646" s="87"/>
      <c r="I646" s="87"/>
      <c r="J646" s="87"/>
      <c r="K646" s="87"/>
      <c r="L646" s="87"/>
      <c r="M646" s="97"/>
      <c r="N646" s="87"/>
      <c r="O646" s="87"/>
      <c r="P646" s="87"/>
      <c r="Q646" s="87"/>
      <c r="R646" s="87"/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87"/>
    </row>
    <row r="647">
      <c r="A647" s="87"/>
      <c r="B647" s="87"/>
      <c r="C647" s="87"/>
      <c r="D647" s="87"/>
      <c r="E647" s="87"/>
      <c r="F647" s="87"/>
      <c r="G647" s="87"/>
      <c r="H647" s="87"/>
      <c r="I647" s="87"/>
      <c r="J647" s="87"/>
      <c r="K647" s="87"/>
      <c r="L647" s="87"/>
      <c r="M647" s="97"/>
      <c r="N647" s="87"/>
      <c r="O647" s="87"/>
      <c r="P647" s="87"/>
      <c r="Q647" s="87"/>
      <c r="R647" s="87"/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87"/>
    </row>
    <row r="648">
      <c r="A648" s="87"/>
      <c r="B648" s="87"/>
      <c r="C648" s="87"/>
      <c r="D648" s="87"/>
      <c r="E648" s="87"/>
      <c r="F648" s="87"/>
      <c r="G648" s="87"/>
      <c r="H648" s="87"/>
      <c r="I648" s="87"/>
      <c r="J648" s="87"/>
      <c r="K648" s="87"/>
      <c r="L648" s="87"/>
      <c r="M648" s="97"/>
      <c r="N648" s="87"/>
      <c r="O648" s="87"/>
      <c r="P648" s="87"/>
      <c r="Q648" s="87"/>
      <c r="R648" s="87"/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87"/>
    </row>
    <row r="649">
      <c r="A649" s="87"/>
      <c r="B649" s="87"/>
      <c r="C649" s="87"/>
      <c r="D649" s="87"/>
      <c r="E649" s="87"/>
      <c r="F649" s="87"/>
      <c r="G649" s="87"/>
      <c r="H649" s="87"/>
      <c r="I649" s="87"/>
      <c r="J649" s="87"/>
      <c r="K649" s="87"/>
      <c r="L649" s="87"/>
      <c r="M649" s="97"/>
      <c r="N649" s="87"/>
      <c r="O649" s="87"/>
      <c r="P649" s="87"/>
      <c r="Q649" s="87"/>
      <c r="R649" s="87"/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87"/>
    </row>
    <row r="650">
      <c r="A650" s="87"/>
      <c r="B650" s="87"/>
      <c r="C650" s="87"/>
      <c r="D650" s="87"/>
      <c r="E650" s="87"/>
      <c r="F650" s="87"/>
      <c r="G650" s="87"/>
      <c r="H650" s="87"/>
      <c r="I650" s="87"/>
      <c r="J650" s="87"/>
      <c r="K650" s="87"/>
      <c r="L650" s="87"/>
      <c r="M650" s="97"/>
      <c r="N650" s="87"/>
      <c r="O650" s="87"/>
      <c r="P650" s="87"/>
      <c r="Q650" s="87"/>
      <c r="R650" s="87"/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87"/>
    </row>
    <row r="651">
      <c r="A651" s="87"/>
      <c r="B651" s="87"/>
      <c r="C651" s="87"/>
      <c r="D651" s="87"/>
      <c r="E651" s="87"/>
      <c r="F651" s="87"/>
      <c r="G651" s="87"/>
      <c r="H651" s="87"/>
      <c r="I651" s="87"/>
      <c r="J651" s="87"/>
      <c r="K651" s="87"/>
      <c r="L651" s="87"/>
      <c r="M651" s="97"/>
      <c r="N651" s="87"/>
      <c r="O651" s="87"/>
      <c r="P651" s="87"/>
      <c r="Q651" s="87"/>
      <c r="R651" s="87"/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87"/>
    </row>
    <row r="652">
      <c r="A652" s="87"/>
      <c r="B652" s="87"/>
      <c r="C652" s="87"/>
      <c r="D652" s="87"/>
      <c r="E652" s="87"/>
      <c r="F652" s="87"/>
      <c r="G652" s="87"/>
      <c r="H652" s="87"/>
      <c r="I652" s="87"/>
      <c r="J652" s="87"/>
      <c r="K652" s="87"/>
      <c r="L652" s="87"/>
      <c r="M652" s="97"/>
      <c r="N652" s="87"/>
      <c r="O652" s="87"/>
      <c r="P652" s="87"/>
      <c r="Q652" s="87"/>
      <c r="R652" s="87"/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87"/>
    </row>
    <row r="653">
      <c r="A653" s="87"/>
      <c r="B653" s="87"/>
      <c r="C653" s="87"/>
      <c r="D653" s="87"/>
      <c r="E653" s="87"/>
      <c r="F653" s="87"/>
      <c r="G653" s="87"/>
      <c r="H653" s="87"/>
      <c r="I653" s="87"/>
      <c r="J653" s="87"/>
      <c r="K653" s="87"/>
      <c r="L653" s="87"/>
      <c r="M653" s="97"/>
      <c r="N653" s="87"/>
      <c r="O653" s="87"/>
      <c r="P653" s="87"/>
      <c r="Q653" s="87"/>
      <c r="R653" s="87"/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87"/>
    </row>
    <row r="654">
      <c r="A654" s="87"/>
      <c r="B654" s="87"/>
      <c r="C654" s="87"/>
      <c r="D654" s="87"/>
      <c r="E654" s="87"/>
      <c r="F654" s="87"/>
      <c r="G654" s="87"/>
      <c r="H654" s="87"/>
      <c r="I654" s="87"/>
      <c r="J654" s="87"/>
      <c r="K654" s="87"/>
      <c r="L654" s="87"/>
      <c r="M654" s="97"/>
      <c r="N654" s="87"/>
      <c r="O654" s="87"/>
      <c r="P654" s="87"/>
      <c r="Q654" s="87"/>
      <c r="R654" s="87"/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87"/>
    </row>
    <row r="655">
      <c r="A655" s="87"/>
      <c r="B655" s="87"/>
      <c r="C655" s="87"/>
      <c r="D655" s="87"/>
      <c r="E655" s="87"/>
      <c r="F655" s="87"/>
      <c r="G655" s="87"/>
      <c r="H655" s="87"/>
      <c r="I655" s="87"/>
      <c r="J655" s="87"/>
      <c r="K655" s="87"/>
      <c r="L655" s="87"/>
      <c r="M655" s="97"/>
      <c r="N655" s="87"/>
      <c r="O655" s="87"/>
      <c r="P655" s="87"/>
      <c r="Q655" s="87"/>
      <c r="R655" s="87"/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87"/>
    </row>
    <row r="656">
      <c r="A656" s="87"/>
      <c r="B656" s="87"/>
      <c r="C656" s="87"/>
      <c r="D656" s="87"/>
      <c r="E656" s="87"/>
      <c r="F656" s="87"/>
      <c r="G656" s="87"/>
      <c r="H656" s="87"/>
      <c r="I656" s="87"/>
      <c r="J656" s="87"/>
      <c r="K656" s="87"/>
      <c r="L656" s="87"/>
      <c r="M656" s="97"/>
      <c r="N656" s="87"/>
      <c r="O656" s="87"/>
      <c r="P656" s="87"/>
      <c r="Q656" s="87"/>
      <c r="R656" s="87"/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87"/>
    </row>
    <row r="657">
      <c r="A657" s="87"/>
      <c r="B657" s="87"/>
      <c r="C657" s="87"/>
      <c r="D657" s="87"/>
      <c r="E657" s="87"/>
      <c r="F657" s="87"/>
      <c r="G657" s="87"/>
      <c r="H657" s="87"/>
      <c r="I657" s="87"/>
      <c r="J657" s="87"/>
      <c r="K657" s="87"/>
      <c r="L657" s="87"/>
      <c r="M657" s="97"/>
      <c r="N657" s="87"/>
      <c r="O657" s="87"/>
      <c r="P657" s="87"/>
      <c r="Q657" s="87"/>
      <c r="R657" s="87"/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87"/>
    </row>
    <row r="658">
      <c r="A658" s="87"/>
      <c r="B658" s="87"/>
      <c r="C658" s="87"/>
      <c r="D658" s="87"/>
      <c r="E658" s="87"/>
      <c r="F658" s="87"/>
      <c r="G658" s="87"/>
      <c r="H658" s="87"/>
      <c r="I658" s="87"/>
      <c r="J658" s="87"/>
      <c r="K658" s="87"/>
      <c r="L658" s="87"/>
      <c r="M658" s="97"/>
      <c r="N658" s="87"/>
      <c r="O658" s="87"/>
      <c r="P658" s="87"/>
      <c r="Q658" s="87"/>
      <c r="R658" s="87"/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87"/>
    </row>
    <row r="659">
      <c r="A659" s="87"/>
      <c r="B659" s="87"/>
      <c r="C659" s="87"/>
      <c r="D659" s="87"/>
      <c r="E659" s="87"/>
      <c r="F659" s="87"/>
      <c r="G659" s="87"/>
      <c r="H659" s="87"/>
      <c r="I659" s="87"/>
      <c r="J659" s="87"/>
      <c r="K659" s="87"/>
      <c r="L659" s="87"/>
      <c r="M659" s="97"/>
      <c r="N659" s="87"/>
      <c r="O659" s="87"/>
      <c r="P659" s="87"/>
      <c r="Q659" s="87"/>
      <c r="R659" s="87"/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87"/>
    </row>
    <row r="660">
      <c r="A660" s="87"/>
      <c r="B660" s="87"/>
      <c r="C660" s="87"/>
      <c r="D660" s="87"/>
      <c r="E660" s="87"/>
      <c r="F660" s="87"/>
      <c r="G660" s="87"/>
      <c r="H660" s="87"/>
      <c r="I660" s="87"/>
      <c r="J660" s="87"/>
      <c r="K660" s="87"/>
      <c r="L660" s="87"/>
      <c r="M660" s="97"/>
      <c r="N660" s="87"/>
      <c r="O660" s="87"/>
      <c r="P660" s="87"/>
      <c r="Q660" s="87"/>
      <c r="R660" s="87"/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87"/>
    </row>
    <row r="661">
      <c r="A661" s="87"/>
      <c r="B661" s="87"/>
      <c r="C661" s="87"/>
      <c r="D661" s="87"/>
      <c r="E661" s="87"/>
      <c r="F661" s="87"/>
      <c r="G661" s="87"/>
      <c r="H661" s="87"/>
      <c r="I661" s="87"/>
      <c r="J661" s="87"/>
      <c r="K661" s="87"/>
      <c r="L661" s="87"/>
      <c r="M661" s="97"/>
      <c r="N661" s="87"/>
      <c r="O661" s="87"/>
      <c r="P661" s="87"/>
      <c r="Q661" s="87"/>
      <c r="R661" s="87"/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87"/>
    </row>
    <row r="662">
      <c r="A662" s="87"/>
      <c r="B662" s="87"/>
      <c r="C662" s="87"/>
      <c r="D662" s="87"/>
      <c r="E662" s="87"/>
      <c r="F662" s="87"/>
      <c r="G662" s="87"/>
      <c r="H662" s="87"/>
      <c r="I662" s="87"/>
      <c r="J662" s="87"/>
      <c r="K662" s="87"/>
      <c r="L662" s="87"/>
      <c r="M662" s="97"/>
      <c r="N662" s="87"/>
      <c r="O662" s="87"/>
      <c r="P662" s="87"/>
      <c r="Q662" s="87"/>
      <c r="R662" s="87"/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87"/>
    </row>
    <row r="663">
      <c r="A663" s="87"/>
      <c r="B663" s="87"/>
      <c r="C663" s="87"/>
      <c r="D663" s="87"/>
      <c r="E663" s="87"/>
      <c r="F663" s="87"/>
      <c r="G663" s="87"/>
      <c r="H663" s="87"/>
      <c r="I663" s="87"/>
      <c r="J663" s="87"/>
      <c r="K663" s="87"/>
      <c r="L663" s="87"/>
      <c r="M663" s="97"/>
      <c r="N663" s="87"/>
      <c r="O663" s="87"/>
      <c r="P663" s="87"/>
      <c r="Q663" s="87"/>
      <c r="R663" s="87"/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87"/>
    </row>
    <row r="664">
      <c r="A664" s="87"/>
      <c r="B664" s="87"/>
      <c r="C664" s="87"/>
      <c r="D664" s="87"/>
      <c r="E664" s="87"/>
      <c r="F664" s="87"/>
      <c r="G664" s="87"/>
      <c r="H664" s="87"/>
      <c r="I664" s="87"/>
      <c r="J664" s="87"/>
      <c r="K664" s="87"/>
      <c r="L664" s="87"/>
      <c r="M664" s="97"/>
      <c r="N664" s="87"/>
      <c r="O664" s="87"/>
      <c r="P664" s="87"/>
      <c r="Q664" s="87"/>
      <c r="R664" s="87"/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87"/>
    </row>
    <row r="665">
      <c r="A665" s="87"/>
      <c r="B665" s="87"/>
      <c r="C665" s="87"/>
      <c r="D665" s="87"/>
      <c r="E665" s="87"/>
      <c r="F665" s="87"/>
      <c r="G665" s="87"/>
      <c r="H665" s="87"/>
      <c r="I665" s="87"/>
      <c r="J665" s="87"/>
      <c r="K665" s="87"/>
      <c r="L665" s="87"/>
      <c r="M665" s="97"/>
      <c r="N665" s="87"/>
      <c r="O665" s="87"/>
      <c r="P665" s="87"/>
      <c r="Q665" s="87"/>
      <c r="R665" s="87"/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87"/>
    </row>
    <row r="666">
      <c r="A666" s="87"/>
      <c r="B666" s="87"/>
      <c r="C666" s="87"/>
      <c r="D666" s="87"/>
      <c r="E666" s="87"/>
      <c r="F666" s="87"/>
      <c r="G666" s="87"/>
      <c r="H666" s="87"/>
      <c r="I666" s="87"/>
      <c r="J666" s="87"/>
      <c r="K666" s="87"/>
      <c r="L666" s="87"/>
      <c r="M666" s="97"/>
      <c r="N666" s="87"/>
      <c r="O666" s="87"/>
      <c r="P666" s="87"/>
      <c r="Q666" s="87"/>
      <c r="R666" s="87"/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87"/>
    </row>
    <row r="667">
      <c r="A667" s="87"/>
      <c r="B667" s="87"/>
      <c r="C667" s="87"/>
      <c r="D667" s="87"/>
      <c r="E667" s="87"/>
      <c r="F667" s="87"/>
      <c r="G667" s="87"/>
      <c r="H667" s="87"/>
      <c r="I667" s="87"/>
      <c r="J667" s="87"/>
      <c r="K667" s="87"/>
      <c r="L667" s="87"/>
      <c r="M667" s="97"/>
      <c r="N667" s="87"/>
      <c r="O667" s="87"/>
      <c r="P667" s="87"/>
      <c r="Q667" s="87"/>
      <c r="R667" s="87"/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87"/>
    </row>
    <row r="668">
      <c r="A668" s="87"/>
      <c r="B668" s="87"/>
      <c r="C668" s="87"/>
      <c r="D668" s="87"/>
      <c r="E668" s="87"/>
      <c r="F668" s="87"/>
      <c r="G668" s="87"/>
      <c r="H668" s="87"/>
      <c r="I668" s="87"/>
      <c r="J668" s="87"/>
      <c r="K668" s="87"/>
      <c r="L668" s="87"/>
      <c r="M668" s="97"/>
      <c r="N668" s="87"/>
      <c r="O668" s="87"/>
      <c r="P668" s="87"/>
      <c r="Q668" s="87"/>
      <c r="R668" s="87"/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87"/>
    </row>
    <row r="669">
      <c r="A669" s="87"/>
      <c r="B669" s="87"/>
      <c r="C669" s="87"/>
      <c r="D669" s="87"/>
      <c r="E669" s="87"/>
      <c r="F669" s="87"/>
      <c r="G669" s="87"/>
      <c r="H669" s="87"/>
      <c r="I669" s="87"/>
      <c r="J669" s="87"/>
      <c r="K669" s="87"/>
      <c r="L669" s="87"/>
      <c r="M669" s="97"/>
      <c r="N669" s="87"/>
      <c r="O669" s="87"/>
      <c r="P669" s="87"/>
      <c r="Q669" s="87"/>
      <c r="R669" s="87"/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87"/>
    </row>
    <row r="670">
      <c r="A670" s="87"/>
      <c r="B670" s="87"/>
      <c r="C670" s="87"/>
      <c r="D670" s="87"/>
      <c r="E670" s="87"/>
      <c r="F670" s="87"/>
      <c r="G670" s="87"/>
      <c r="H670" s="87"/>
      <c r="I670" s="87"/>
      <c r="J670" s="87"/>
      <c r="K670" s="87"/>
      <c r="L670" s="87"/>
      <c r="M670" s="97"/>
      <c r="N670" s="87"/>
      <c r="O670" s="87"/>
      <c r="P670" s="87"/>
      <c r="Q670" s="87"/>
      <c r="R670" s="87"/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87"/>
    </row>
    <row r="671">
      <c r="A671" s="87"/>
      <c r="B671" s="87"/>
      <c r="C671" s="87"/>
      <c r="D671" s="87"/>
      <c r="E671" s="87"/>
      <c r="F671" s="87"/>
      <c r="G671" s="87"/>
      <c r="H671" s="87"/>
      <c r="I671" s="87"/>
      <c r="J671" s="87"/>
      <c r="K671" s="87"/>
      <c r="L671" s="87"/>
      <c r="M671" s="97"/>
      <c r="N671" s="87"/>
      <c r="O671" s="87"/>
      <c r="P671" s="87"/>
      <c r="Q671" s="87"/>
      <c r="R671" s="87"/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87"/>
    </row>
    <row r="672">
      <c r="A672" s="87"/>
      <c r="B672" s="87"/>
      <c r="C672" s="87"/>
      <c r="D672" s="87"/>
      <c r="E672" s="87"/>
      <c r="F672" s="87"/>
      <c r="G672" s="87"/>
      <c r="H672" s="87"/>
      <c r="I672" s="87"/>
      <c r="J672" s="87"/>
      <c r="K672" s="87"/>
      <c r="L672" s="87"/>
      <c r="M672" s="97"/>
      <c r="N672" s="87"/>
      <c r="O672" s="87"/>
      <c r="P672" s="87"/>
      <c r="Q672" s="87"/>
      <c r="R672" s="87"/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87"/>
    </row>
    <row r="673">
      <c r="A673" s="87"/>
      <c r="B673" s="87"/>
      <c r="C673" s="87"/>
      <c r="D673" s="87"/>
      <c r="E673" s="87"/>
      <c r="F673" s="87"/>
      <c r="G673" s="87"/>
      <c r="H673" s="87"/>
      <c r="I673" s="87"/>
      <c r="J673" s="87"/>
      <c r="K673" s="87"/>
      <c r="L673" s="87"/>
      <c r="M673" s="97"/>
      <c r="N673" s="87"/>
      <c r="O673" s="87"/>
      <c r="P673" s="87"/>
      <c r="Q673" s="87"/>
      <c r="R673" s="87"/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87"/>
    </row>
    <row r="674">
      <c r="A674" s="87"/>
      <c r="B674" s="87"/>
      <c r="C674" s="87"/>
      <c r="D674" s="87"/>
      <c r="E674" s="87"/>
      <c r="F674" s="87"/>
      <c r="G674" s="87"/>
      <c r="H674" s="87"/>
      <c r="I674" s="87"/>
      <c r="J674" s="87"/>
      <c r="K674" s="87"/>
      <c r="L674" s="87"/>
      <c r="M674" s="97"/>
      <c r="N674" s="87"/>
      <c r="O674" s="87"/>
      <c r="P674" s="87"/>
      <c r="Q674" s="87"/>
      <c r="R674" s="87"/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87"/>
    </row>
    <row r="675">
      <c r="A675" s="87"/>
      <c r="B675" s="87"/>
      <c r="C675" s="87"/>
      <c r="D675" s="87"/>
      <c r="E675" s="87"/>
      <c r="F675" s="87"/>
      <c r="G675" s="87"/>
      <c r="H675" s="87"/>
      <c r="I675" s="87"/>
      <c r="J675" s="87"/>
      <c r="K675" s="87"/>
      <c r="L675" s="87"/>
      <c r="M675" s="97"/>
      <c r="N675" s="87"/>
      <c r="O675" s="87"/>
      <c r="P675" s="87"/>
      <c r="Q675" s="87"/>
      <c r="R675" s="87"/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87"/>
    </row>
    <row r="676">
      <c r="A676" s="87"/>
      <c r="B676" s="87"/>
      <c r="C676" s="87"/>
      <c r="D676" s="87"/>
      <c r="E676" s="87"/>
      <c r="F676" s="87"/>
      <c r="G676" s="87"/>
      <c r="H676" s="87"/>
      <c r="I676" s="87"/>
      <c r="J676" s="87"/>
      <c r="K676" s="87"/>
      <c r="L676" s="87"/>
      <c r="M676" s="97"/>
      <c r="N676" s="87"/>
      <c r="O676" s="87"/>
      <c r="P676" s="87"/>
      <c r="Q676" s="87"/>
      <c r="R676" s="87"/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87"/>
    </row>
    <row r="677">
      <c r="A677" s="87"/>
      <c r="B677" s="87"/>
      <c r="C677" s="87"/>
      <c r="D677" s="87"/>
      <c r="E677" s="87"/>
      <c r="F677" s="87"/>
      <c r="G677" s="87"/>
      <c r="H677" s="87"/>
      <c r="I677" s="87"/>
      <c r="J677" s="87"/>
      <c r="K677" s="87"/>
      <c r="L677" s="87"/>
      <c r="M677" s="97"/>
      <c r="N677" s="87"/>
      <c r="O677" s="87"/>
      <c r="P677" s="87"/>
      <c r="Q677" s="87"/>
      <c r="R677" s="87"/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87"/>
    </row>
    <row r="678">
      <c r="A678" s="87"/>
      <c r="B678" s="87"/>
      <c r="C678" s="87"/>
      <c r="D678" s="87"/>
      <c r="E678" s="87"/>
      <c r="F678" s="87"/>
      <c r="G678" s="87"/>
      <c r="H678" s="87"/>
      <c r="I678" s="87"/>
      <c r="J678" s="87"/>
      <c r="K678" s="87"/>
      <c r="L678" s="87"/>
      <c r="M678" s="97"/>
      <c r="N678" s="87"/>
      <c r="O678" s="87"/>
      <c r="P678" s="87"/>
      <c r="Q678" s="87"/>
      <c r="R678" s="87"/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87"/>
    </row>
    <row r="679">
      <c r="A679" s="87"/>
      <c r="B679" s="87"/>
      <c r="C679" s="87"/>
      <c r="D679" s="87"/>
      <c r="E679" s="87"/>
      <c r="F679" s="87"/>
      <c r="G679" s="87"/>
      <c r="H679" s="87"/>
      <c r="I679" s="87"/>
      <c r="J679" s="87"/>
      <c r="K679" s="87"/>
      <c r="L679" s="87"/>
      <c r="M679" s="97"/>
      <c r="N679" s="87"/>
      <c r="O679" s="87"/>
      <c r="P679" s="87"/>
      <c r="Q679" s="87"/>
      <c r="R679" s="87"/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87"/>
    </row>
    <row r="680">
      <c r="A680" s="87"/>
      <c r="B680" s="87"/>
      <c r="C680" s="87"/>
      <c r="D680" s="87"/>
      <c r="E680" s="87"/>
      <c r="F680" s="87"/>
      <c r="G680" s="87"/>
      <c r="H680" s="87"/>
      <c r="I680" s="87"/>
      <c r="J680" s="87"/>
      <c r="K680" s="87"/>
      <c r="L680" s="87"/>
      <c r="M680" s="97"/>
      <c r="N680" s="87"/>
      <c r="O680" s="87"/>
      <c r="P680" s="87"/>
      <c r="Q680" s="87"/>
      <c r="R680" s="87"/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87"/>
    </row>
    <row r="681">
      <c r="A681" s="87"/>
      <c r="B681" s="87"/>
      <c r="C681" s="87"/>
      <c r="D681" s="87"/>
      <c r="E681" s="87"/>
      <c r="F681" s="87"/>
      <c r="G681" s="87"/>
      <c r="H681" s="87"/>
      <c r="I681" s="87"/>
      <c r="J681" s="87"/>
      <c r="K681" s="87"/>
      <c r="L681" s="87"/>
      <c r="M681" s="97"/>
      <c r="N681" s="87"/>
      <c r="O681" s="87"/>
      <c r="P681" s="87"/>
      <c r="Q681" s="87"/>
      <c r="R681" s="87"/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87"/>
    </row>
    <row r="682">
      <c r="A682" s="87"/>
      <c r="B682" s="87"/>
      <c r="C682" s="87"/>
      <c r="D682" s="87"/>
      <c r="E682" s="87"/>
      <c r="F682" s="87"/>
      <c r="G682" s="87"/>
      <c r="H682" s="87"/>
      <c r="I682" s="87"/>
      <c r="J682" s="87"/>
      <c r="K682" s="87"/>
      <c r="L682" s="87"/>
      <c r="M682" s="97"/>
      <c r="N682" s="87"/>
      <c r="O682" s="87"/>
      <c r="P682" s="87"/>
      <c r="Q682" s="87"/>
      <c r="R682" s="87"/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87"/>
    </row>
    <row r="683">
      <c r="A683" s="87"/>
      <c r="B683" s="87"/>
      <c r="C683" s="87"/>
      <c r="D683" s="87"/>
      <c r="E683" s="87"/>
      <c r="F683" s="87"/>
      <c r="G683" s="87"/>
      <c r="H683" s="87"/>
      <c r="I683" s="87"/>
      <c r="J683" s="87"/>
      <c r="K683" s="87"/>
      <c r="L683" s="87"/>
      <c r="M683" s="97"/>
      <c r="N683" s="87"/>
      <c r="O683" s="87"/>
      <c r="P683" s="87"/>
      <c r="Q683" s="87"/>
      <c r="R683" s="87"/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87"/>
    </row>
    <row r="684">
      <c r="A684" s="87"/>
      <c r="B684" s="87"/>
      <c r="C684" s="87"/>
      <c r="D684" s="87"/>
      <c r="E684" s="87"/>
      <c r="F684" s="87"/>
      <c r="G684" s="87"/>
      <c r="H684" s="87"/>
      <c r="I684" s="87"/>
      <c r="J684" s="87"/>
      <c r="K684" s="87"/>
      <c r="L684" s="87"/>
      <c r="M684" s="97"/>
      <c r="N684" s="87"/>
      <c r="O684" s="87"/>
      <c r="P684" s="87"/>
      <c r="Q684" s="87"/>
      <c r="R684" s="87"/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87"/>
    </row>
    <row r="685">
      <c r="A685" s="87"/>
      <c r="B685" s="87"/>
      <c r="C685" s="87"/>
      <c r="D685" s="87"/>
      <c r="E685" s="87"/>
      <c r="F685" s="87"/>
      <c r="G685" s="87"/>
      <c r="H685" s="87"/>
      <c r="I685" s="87"/>
      <c r="J685" s="87"/>
      <c r="K685" s="87"/>
      <c r="L685" s="87"/>
      <c r="M685" s="97"/>
      <c r="N685" s="87"/>
      <c r="O685" s="87"/>
      <c r="P685" s="87"/>
      <c r="Q685" s="87"/>
      <c r="R685" s="87"/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87"/>
    </row>
    <row r="686">
      <c r="A686" s="87"/>
      <c r="B686" s="87"/>
      <c r="C686" s="87"/>
      <c r="D686" s="87"/>
      <c r="E686" s="87"/>
      <c r="F686" s="87"/>
      <c r="G686" s="87"/>
      <c r="H686" s="87"/>
      <c r="I686" s="87"/>
      <c r="J686" s="87"/>
      <c r="K686" s="87"/>
      <c r="L686" s="87"/>
      <c r="M686" s="97"/>
      <c r="N686" s="87"/>
      <c r="O686" s="87"/>
      <c r="P686" s="87"/>
      <c r="Q686" s="87"/>
      <c r="R686" s="87"/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87"/>
    </row>
    <row r="687">
      <c r="A687" s="87"/>
      <c r="B687" s="87"/>
      <c r="C687" s="87"/>
      <c r="D687" s="87"/>
      <c r="E687" s="87"/>
      <c r="F687" s="87"/>
      <c r="G687" s="87"/>
      <c r="H687" s="87"/>
      <c r="I687" s="87"/>
      <c r="J687" s="87"/>
      <c r="K687" s="87"/>
      <c r="L687" s="87"/>
      <c r="M687" s="97"/>
      <c r="N687" s="87"/>
      <c r="O687" s="87"/>
      <c r="P687" s="87"/>
      <c r="Q687" s="87"/>
      <c r="R687" s="87"/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87"/>
    </row>
    <row r="688">
      <c r="A688" s="87"/>
      <c r="B688" s="87"/>
      <c r="C688" s="87"/>
      <c r="D688" s="87"/>
      <c r="E688" s="87"/>
      <c r="F688" s="87"/>
      <c r="G688" s="87"/>
      <c r="H688" s="87"/>
      <c r="I688" s="87"/>
      <c r="J688" s="87"/>
      <c r="K688" s="87"/>
      <c r="L688" s="87"/>
      <c r="M688" s="97"/>
      <c r="N688" s="87"/>
      <c r="O688" s="87"/>
      <c r="P688" s="87"/>
      <c r="Q688" s="87"/>
      <c r="R688" s="87"/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87"/>
    </row>
    <row r="689">
      <c r="A689" s="87"/>
      <c r="B689" s="87"/>
      <c r="C689" s="87"/>
      <c r="D689" s="87"/>
      <c r="E689" s="87"/>
      <c r="F689" s="87"/>
      <c r="G689" s="87"/>
      <c r="H689" s="87"/>
      <c r="I689" s="87"/>
      <c r="J689" s="87"/>
      <c r="K689" s="87"/>
      <c r="L689" s="87"/>
      <c r="M689" s="97"/>
      <c r="N689" s="87"/>
      <c r="O689" s="87"/>
      <c r="P689" s="87"/>
      <c r="Q689" s="87"/>
      <c r="R689" s="87"/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87"/>
    </row>
    <row r="690">
      <c r="A690" s="87"/>
      <c r="B690" s="87"/>
      <c r="C690" s="87"/>
      <c r="D690" s="87"/>
      <c r="E690" s="87"/>
      <c r="F690" s="87"/>
      <c r="G690" s="87"/>
      <c r="H690" s="87"/>
      <c r="I690" s="87"/>
      <c r="J690" s="87"/>
      <c r="K690" s="87"/>
      <c r="L690" s="87"/>
      <c r="M690" s="97"/>
      <c r="N690" s="87"/>
      <c r="O690" s="87"/>
      <c r="P690" s="87"/>
      <c r="Q690" s="87"/>
      <c r="R690" s="87"/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87"/>
    </row>
    <row r="691">
      <c r="A691" s="87"/>
      <c r="B691" s="87"/>
      <c r="C691" s="87"/>
      <c r="D691" s="87"/>
      <c r="E691" s="87"/>
      <c r="F691" s="87"/>
      <c r="G691" s="87"/>
      <c r="H691" s="87"/>
      <c r="I691" s="87"/>
      <c r="J691" s="87"/>
      <c r="K691" s="87"/>
      <c r="L691" s="87"/>
      <c r="M691" s="97"/>
      <c r="N691" s="87"/>
      <c r="O691" s="87"/>
      <c r="P691" s="87"/>
      <c r="Q691" s="87"/>
      <c r="R691" s="87"/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87"/>
    </row>
    <row r="692">
      <c r="A692" s="87"/>
      <c r="B692" s="87"/>
      <c r="C692" s="87"/>
      <c r="D692" s="87"/>
      <c r="E692" s="87"/>
      <c r="F692" s="87"/>
      <c r="G692" s="87"/>
      <c r="H692" s="87"/>
      <c r="I692" s="87"/>
      <c r="J692" s="87"/>
      <c r="K692" s="87"/>
      <c r="L692" s="87"/>
      <c r="M692" s="97"/>
      <c r="N692" s="87"/>
      <c r="O692" s="87"/>
      <c r="P692" s="87"/>
      <c r="Q692" s="87"/>
      <c r="R692" s="87"/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87"/>
    </row>
    <row r="693">
      <c r="A693" s="87"/>
      <c r="B693" s="87"/>
      <c r="C693" s="87"/>
      <c r="D693" s="87"/>
      <c r="E693" s="87"/>
      <c r="F693" s="87"/>
      <c r="G693" s="87"/>
      <c r="H693" s="87"/>
      <c r="I693" s="87"/>
      <c r="J693" s="87"/>
      <c r="K693" s="87"/>
      <c r="L693" s="87"/>
      <c r="M693" s="9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87"/>
    </row>
    <row r="694">
      <c r="A694" s="87"/>
      <c r="B694" s="87"/>
      <c r="C694" s="87"/>
      <c r="D694" s="87"/>
      <c r="E694" s="87"/>
      <c r="F694" s="87"/>
      <c r="G694" s="87"/>
      <c r="H694" s="87"/>
      <c r="I694" s="87"/>
      <c r="J694" s="87"/>
      <c r="K694" s="87"/>
      <c r="L694" s="87"/>
      <c r="M694" s="97"/>
      <c r="N694" s="87"/>
      <c r="O694" s="87"/>
      <c r="P694" s="87"/>
      <c r="Q694" s="87"/>
      <c r="R694" s="87"/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87"/>
    </row>
    <row r="695">
      <c r="A695" s="87"/>
      <c r="B695" s="87"/>
      <c r="C695" s="87"/>
      <c r="D695" s="87"/>
      <c r="E695" s="87"/>
      <c r="F695" s="87"/>
      <c r="G695" s="87"/>
      <c r="H695" s="87"/>
      <c r="I695" s="87"/>
      <c r="J695" s="87"/>
      <c r="K695" s="87"/>
      <c r="L695" s="87"/>
      <c r="M695" s="97"/>
      <c r="N695" s="87"/>
      <c r="O695" s="87"/>
      <c r="P695" s="87"/>
      <c r="Q695" s="87"/>
      <c r="R695" s="87"/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87"/>
    </row>
    <row r="696">
      <c r="A696" s="87"/>
      <c r="B696" s="87"/>
      <c r="C696" s="87"/>
      <c r="D696" s="87"/>
      <c r="E696" s="87"/>
      <c r="F696" s="87"/>
      <c r="G696" s="87"/>
      <c r="H696" s="87"/>
      <c r="I696" s="87"/>
      <c r="J696" s="87"/>
      <c r="K696" s="87"/>
      <c r="L696" s="87"/>
      <c r="M696" s="97"/>
      <c r="N696" s="87"/>
      <c r="O696" s="87"/>
      <c r="P696" s="87"/>
      <c r="Q696" s="87"/>
      <c r="R696" s="87"/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87"/>
    </row>
    <row r="697">
      <c r="A697" s="87"/>
      <c r="B697" s="87"/>
      <c r="C697" s="87"/>
      <c r="D697" s="87"/>
      <c r="E697" s="87"/>
      <c r="F697" s="87"/>
      <c r="G697" s="87"/>
      <c r="H697" s="87"/>
      <c r="I697" s="87"/>
      <c r="J697" s="87"/>
      <c r="K697" s="87"/>
      <c r="L697" s="87"/>
      <c r="M697" s="97"/>
      <c r="N697" s="87"/>
      <c r="O697" s="87"/>
      <c r="P697" s="87"/>
      <c r="Q697" s="87"/>
      <c r="R697" s="87"/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87"/>
    </row>
    <row r="698">
      <c r="A698" s="87"/>
      <c r="B698" s="87"/>
      <c r="C698" s="87"/>
      <c r="D698" s="87"/>
      <c r="E698" s="87"/>
      <c r="F698" s="87"/>
      <c r="G698" s="87"/>
      <c r="H698" s="87"/>
      <c r="I698" s="87"/>
      <c r="J698" s="87"/>
      <c r="K698" s="87"/>
      <c r="L698" s="87"/>
      <c r="M698" s="97"/>
      <c r="N698" s="87"/>
      <c r="O698" s="87"/>
      <c r="P698" s="87"/>
      <c r="Q698" s="87"/>
      <c r="R698" s="87"/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87"/>
    </row>
    <row r="699">
      <c r="A699" s="87"/>
      <c r="B699" s="87"/>
      <c r="C699" s="87"/>
      <c r="D699" s="87"/>
      <c r="E699" s="87"/>
      <c r="F699" s="87"/>
      <c r="G699" s="87"/>
      <c r="H699" s="87"/>
      <c r="I699" s="87"/>
      <c r="J699" s="87"/>
      <c r="K699" s="87"/>
      <c r="L699" s="87"/>
      <c r="M699" s="97"/>
      <c r="N699" s="87"/>
      <c r="O699" s="87"/>
      <c r="P699" s="87"/>
      <c r="Q699" s="87"/>
      <c r="R699" s="87"/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87"/>
    </row>
    <row r="700">
      <c r="A700" s="87"/>
      <c r="B700" s="87"/>
      <c r="C700" s="87"/>
      <c r="D700" s="87"/>
      <c r="E700" s="87"/>
      <c r="F700" s="87"/>
      <c r="G700" s="87"/>
      <c r="H700" s="87"/>
      <c r="I700" s="87"/>
      <c r="J700" s="87"/>
      <c r="K700" s="87"/>
      <c r="L700" s="87"/>
      <c r="M700" s="97"/>
      <c r="N700" s="87"/>
      <c r="O700" s="87"/>
      <c r="P700" s="87"/>
      <c r="Q700" s="87"/>
      <c r="R700" s="87"/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87"/>
    </row>
    <row r="701">
      <c r="A701" s="87"/>
      <c r="B701" s="87"/>
      <c r="C701" s="87"/>
      <c r="D701" s="87"/>
      <c r="E701" s="87"/>
      <c r="F701" s="87"/>
      <c r="G701" s="87"/>
      <c r="H701" s="87"/>
      <c r="I701" s="87"/>
      <c r="J701" s="87"/>
      <c r="K701" s="87"/>
      <c r="L701" s="87"/>
      <c r="M701" s="97"/>
      <c r="N701" s="87"/>
      <c r="O701" s="87"/>
      <c r="P701" s="87"/>
      <c r="Q701" s="87"/>
      <c r="R701" s="87"/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87"/>
    </row>
    <row r="702">
      <c r="A702" s="87"/>
      <c r="B702" s="87"/>
      <c r="C702" s="87"/>
      <c r="D702" s="87"/>
      <c r="E702" s="87"/>
      <c r="F702" s="87"/>
      <c r="G702" s="87"/>
      <c r="H702" s="87"/>
      <c r="I702" s="87"/>
      <c r="J702" s="87"/>
      <c r="K702" s="87"/>
      <c r="L702" s="87"/>
      <c r="M702" s="97"/>
      <c r="N702" s="87"/>
      <c r="O702" s="87"/>
      <c r="P702" s="87"/>
      <c r="Q702" s="87"/>
      <c r="R702" s="87"/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87"/>
    </row>
    <row r="703">
      <c r="A703" s="87"/>
      <c r="B703" s="87"/>
      <c r="C703" s="87"/>
      <c r="D703" s="87"/>
      <c r="E703" s="87"/>
      <c r="F703" s="87"/>
      <c r="G703" s="87"/>
      <c r="H703" s="87"/>
      <c r="I703" s="87"/>
      <c r="J703" s="87"/>
      <c r="K703" s="87"/>
      <c r="L703" s="87"/>
      <c r="M703" s="97"/>
      <c r="N703" s="87"/>
      <c r="O703" s="87"/>
      <c r="P703" s="87"/>
      <c r="Q703" s="87"/>
      <c r="R703" s="87"/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87"/>
    </row>
    <row r="704">
      <c r="A704" s="87"/>
      <c r="B704" s="87"/>
      <c r="C704" s="87"/>
      <c r="D704" s="87"/>
      <c r="E704" s="87"/>
      <c r="F704" s="87"/>
      <c r="G704" s="87"/>
      <c r="H704" s="87"/>
      <c r="I704" s="87"/>
      <c r="J704" s="87"/>
      <c r="K704" s="87"/>
      <c r="L704" s="87"/>
      <c r="M704" s="97"/>
      <c r="N704" s="87"/>
      <c r="O704" s="87"/>
      <c r="P704" s="87"/>
      <c r="Q704" s="87"/>
      <c r="R704" s="87"/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87"/>
    </row>
    <row r="705">
      <c r="A705" s="87"/>
      <c r="B705" s="87"/>
      <c r="C705" s="87"/>
      <c r="D705" s="87"/>
      <c r="E705" s="87"/>
      <c r="F705" s="87"/>
      <c r="G705" s="87"/>
      <c r="H705" s="87"/>
      <c r="I705" s="87"/>
      <c r="J705" s="87"/>
      <c r="K705" s="87"/>
      <c r="L705" s="87"/>
      <c r="M705" s="97"/>
      <c r="N705" s="87"/>
      <c r="O705" s="87"/>
      <c r="P705" s="87"/>
      <c r="Q705" s="87"/>
      <c r="R705" s="87"/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87"/>
    </row>
    <row r="706">
      <c r="A706" s="87"/>
      <c r="B706" s="87"/>
      <c r="C706" s="87"/>
      <c r="D706" s="87"/>
      <c r="E706" s="87"/>
      <c r="F706" s="87"/>
      <c r="G706" s="87"/>
      <c r="H706" s="87"/>
      <c r="I706" s="87"/>
      <c r="J706" s="87"/>
      <c r="K706" s="87"/>
      <c r="L706" s="87"/>
      <c r="M706" s="97"/>
      <c r="N706" s="87"/>
      <c r="O706" s="87"/>
      <c r="P706" s="87"/>
      <c r="Q706" s="87"/>
      <c r="R706" s="87"/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87"/>
    </row>
    <row r="707">
      <c r="A707" s="87"/>
      <c r="B707" s="87"/>
      <c r="C707" s="87"/>
      <c r="D707" s="87"/>
      <c r="E707" s="87"/>
      <c r="F707" s="87"/>
      <c r="G707" s="87"/>
      <c r="H707" s="87"/>
      <c r="I707" s="87"/>
      <c r="J707" s="87"/>
      <c r="K707" s="87"/>
      <c r="L707" s="87"/>
      <c r="M707" s="97"/>
      <c r="N707" s="87"/>
      <c r="O707" s="87"/>
      <c r="P707" s="87"/>
      <c r="Q707" s="87"/>
      <c r="R707" s="87"/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87"/>
    </row>
    <row r="708">
      <c r="A708" s="87"/>
      <c r="B708" s="87"/>
      <c r="C708" s="87"/>
      <c r="D708" s="87"/>
      <c r="E708" s="87"/>
      <c r="F708" s="87"/>
      <c r="G708" s="87"/>
      <c r="H708" s="87"/>
      <c r="I708" s="87"/>
      <c r="J708" s="87"/>
      <c r="K708" s="87"/>
      <c r="L708" s="87"/>
      <c r="M708" s="97"/>
      <c r="N708" s="87"/>
      <c r="O708" s="87"/>
      <c r="P708" s="87"/>
      <c r="Q708" s="87"/>
      <c r="R708" s="87"/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87"/>
    </row>
    <row r="709">
      <c r="A709" s="87"/>
      <c r="B709" s="87"/>
      <c r="C709" s="87"/>
      <c r="D709" s="87"/>
      <c r="E709" s="87"/>
      <c r="F709" s="87"/>
      <c r="G709" s="87"/>
      <c r="H709" s="87"/>
      <c r="I709" s="87"/>
      <c r="J709" s="87"/>
      <c r="K709" s="87"/>
      <c r="L709" s="87"/>
      <c r="M709" s="9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87"/>
    </row>
    <row r="710">
      <c r="A710" s="87"/>
      <c r="B710" s="87"/>
      <c r="C710" s="87"/>
      <c r="D710" s="87"/>
      <c r="E710" s="87"/>
      <c r="F710" s="87"/>
      <c r="G710" s="87"/>
      <c r="H710" s="87"/>
      <c r="I710" s="87"/>
      <c r="J710" s="87"/>
      <c r="K710" s="87"/>
      <c r="L710" s="87"/>
      <c r="M710" s="97"/>
      <c r="N710" s="87"/>
      <c r="O710" s="87"/>
      <c r="P710" s="87"/>
      <c r="Q710" s="87"/>
      <c r="R710" s="87"/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87"/>
    </row>
    <row r="711">
      <c r="A711" s="87"/>
      <c r="B711" s="87"/>
      <c r="C711" s="87"/>
      <c r="D711" s="87"/>
      <c r="E711" s="87"/>
      <c r="F711" s="87"/>
      <c r="G711" s="87"/>
      <c r="H711" s="87"/>
      <c r="I711" s="87"/>
      <c r="J711" s="87"/>
      <c r="K711" s="87"/>
      <c r="L711" s="87"/>
      <c r="M711" s="97"/>
      <c r="N711" s="87"/>
      <c r="O711" s="87"/>
      <c r="P711" s="87"/>
      <c r="Q711" s="87"/>
      <c r="R711" s="87"/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87"/>
    </row>
    <row r="712">
      <c r="A712" s="87"/>
      <c r="B712" s="87"/>
      <c r="C712" s="87"/>
      <c r="D712" s="87"/>
      <c r="E712" s="87"/>
      <c r="F712" s="87"/>
      <c r="G712" s="87"/>
      <c r="H712" s="87"/>
      <c r="I712" s="87"/>
      <c r="J712" s="87"/>
      <c r="K712" s="87"/>
      <c r="L712" s="87"/>
      <c r="M712" s="9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87"/>
    </row>
    <row r="713">
      <c r="A713" s="87"/>
      <c r="B713" s="87"/>
      <c r="C713" s="87"/>
      <c r="D713" s="87"/>
      <c r="E713" s="87"/>
      <c r="F713" s="87"/>
      <c r="G713" s="87"/>
      <c r="H713" s="87"/>
      <c r="I713" s="87"/>
      <c r="J713" s="87"/>
      <c r="K713" s="87"/>
      <c r="L713" s="87"/>
      <c r="M713" s="97"/>
      <c r="N713" s="87"/>
      <c r="O713" s="87"/>
      <c r="P713" s="87"/>
      <c r="Q713" s="87"/>
      <c r="R713" s="87"/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87"/>
    </row>
    <row r="714">
      <c r="A714" s="87"/>
      <c r="B714" s="87"/>
      <c r="C714" s="87"/>
      <c r="D714" s="87"/>
      <c r="E714" s="87"/>
      <c r="F714" s="87"/>
      <c r="G714" s="87"/>
      <c r="H714" s="87"/>
      <c r="I714" s="87"/>
      <c r="J714" s="87"/>
      <c r="K714" s="87"/>
      <c r="L714" s="87"/>
      <c r="M714" s="97"/>
      <c r="N714" s="87"/>
      <c r="O714" s="87"/>
      <c r="P714" s="87"/>
      <c r="Q714" s="87"/>
      <c r="R714" s="87"/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87"/>
    </row>
    <row r="715">
      <c r="A715" s="87"/>
      <c r="B715" s="87"/>
      <c r="C715" s="87"/>
      <c r="D715" s="87"/>
      <c r="E715" s="87"/>
      <c r="F715" s="87"/>
      <c r="G715" s="87"/>
      <c r="H715" s="87"/>
      <c r="I715" s="87"/>
      <c r="J715" s="87"/>
      <c r="K715" s="87"/>
      <c r="L715" s="87"/>
      <c r="M715" s="97"/>
      <c r="N715" s="87"/>
      <c r="O715" s="87"/>
      <c r="P715" s="87"/>
      <c r="Q715" s="87"/>
      <c r="R715" s="87"/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87"/>
    </row>
    <row r="716">
      <c r="A716" s="87"/>
      <c r="B716" s="87"/>
      <c r="C716" s="87"/>
      <c r="D716" s="87"/>
      <c r="E716" s="87"/>
      <c r="F716" s="87"/>
      <c r="G716" s="87"/>
      <c r="H716" s="87"/>
      <c r="I716" s="87"/>
      <c r="J716" s="87"/>
      <c r="K716" s="87"/>
      <c r="L716" s="87"/>
      <c r="M716" s="97"/>
      <c r="N716" s="87"/>
      <c r="O716" s="87"/>
      <c r="P716" s="87"/>
      <c r="Q716" s="87"/>
      <c r="R716" s="87"/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87"/>
    </row>
    <row r="717">
      <c r="A717" s="87"/>
      <c r="B717" s="87"/>
      <c r="C717" s="87"/>
      <c r="D717" s="87"/>
      <c r="E717" s="87"/>
      <c r="F717" s="87"/>
      <c r="G717" s="87"/>
      <c r="H717" s="87"/>
      <c r="I717" s="87"/>
      <c r="J717" s="87"/>
      <c r="K717" s="87"/>
      <c r="L717" s="87"/>
      <c r="M717" s="97"/>
      <c r="N717" s="87"/>
      <c r="O717" s="87"/>
      <c r="P717" s="87"/>
      <c r="Q717" s="87"/>
      <c r="R717" s="87"/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87"/>
    </row>
    <row r="718">
      <c r="A718" s="87"/>
      <c r="B718" s="87"/>
      <c r="C718" s="87"/>
      <c r="D718" s="87"/>
      <c r="E718" s="87"/>
      <c r="F718" s="87"/>
      <c r="G718" s="87"/>
      <c r="H718" s="87"/>
      <c r="I718" s="87"/>
      <c r="J718" s="87"/>
      <c r="K718" s="87"/>
      <c r="L718" s="87"/>
      <c r="M718" s="97"/>
      <c r="N718" s="87"/>
      <c r="O718" s="87"/>
      <c r="P718" s="87"/>
      <c r="Q718" s="87"/>
      <c r="R718" s="87"/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87"/>
    </row>
    <row r="719">
      <c r="A719" s="87"/>
      <c r="B719" s="87"/>
      <c r="C719" s="87"/>
      <c r="D719" s="87"/>
      <c r="E719" s="87"/>
      <c r="F719" s="87"/>
      <c r="G719" s="87"/>
      <c r="H719" s="87"/>
      <c r="I719" s="87"/>
      <c r="J719" s="87"/>
      <c r="K719" s="87"/>
      <c r="L719" s="87"/>
      <c r="M719" s="97"/>
      <c r="N719" s="87"/>
      <c r="O719" s="87"/>
      <c r="P719" s="87"/>
      <c r="Q719" s="87"/>
      <c r="R719" s="87"/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87"/>
    </row>
    <row r="720">
      <c r="A720" s="87"/>
      <c r="B720" s="87"/>
      <c r="C720" s="87"/>
      <c r="D720" s="87"/>
      <c r="E720" s="87"/>
      <c r="F720" s="87"/>
      <c r="G720" s="87"/>
      <c r="H720" s="87"/>
      <c r="I720" s="87"/>
      <c r="J720" s="87"/>
      <c r="K720" s="87"/>
      <c r="L720" s="87"/>
      <c r="M720" s="97"/>
      <c r="N720" s="87"/>
      <c r="O720" s="87"/>
      <c r="P720" s="87"/>
      <c r="Q720" s="87"/>
      <c r="R720" s="87"/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87"/>
    </row>
    <row r="721">
      <c r="A721" s="87"/>
      <c r="B721" s="87"/>
      <c r="C721" s="87"/>
      <c r="D721" s="87"/>
      <c r="E721" s="87"/>
      <c r="F721" s="87"/>
      <c r="G721" s="87"/>
      <c r="H721" s="87"/>
      <c r="I721" s="87"/>
      <c r="J721" s="87"/>
      <c r="K721" s="87"/>
      <c r="L721" s="87"/>
      <c r="M721" s="97"/>
      <c r="N721" s="87"/>
      <c r="O721" s="87"/>
      <c r="P721" s="87"/>
      <c r="Q721" s="87"/>
      <c r="R721" s="87"/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87"/>
    </row>
    <row r="722">
      <c r="A722" s="87"/>
      <c r="B722" s="87"/>
      <c r="C722" s="87"/>
      <c r="D722" s="87"/>
      <c r="E722" s="87"/>
      <c r="F722" s="87"/>
      <c r="G722" s="87"/>
      <c r="H722" s="87"/>
      <c r="I722" s="87"/>
      <c r="J722" s="87"/>
      <c r="K722" s="87"/>
      <c r="L722" s="87"/>
      <c r="M722" s="97"/>
      <c r="N722" s="87"/>
      <c r="O722" s="87"/>
      <c r="P722" s="87"/>
      <c r="Q722" s="87"/>
      <c r="R722" s="87"/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87"/>
    </row>
    <row r="723">
      <c r="A723" s="87"/>
      <c r="B723" s="87"/>
      <c r="C723" s="87"/>
      <c r="D723" s="87"/>
      <c r="E723" s="87"/>
      <c r="F723" s="87"/>
      <c r="G723" s="87"/>
      <c r="H723" s="87"/>
      <c r="I723" s="87"/>
      <c r="J723" s="87"/>
      <c r="K723" s="87"/>
      <c r="L723" s="87"/>
      <c r="M723" s="97"/>
      <c r="N723" s="87"/>
      <c r="O723" s="87"/>
      <c r="P723" s="87"/>
      <c r="Q723" s="87"/>
      <c r="R723" s="87"/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87"/>
    </row>
    <row r="724">
      <c r="A724" s="87"/>
      <c r="B724" s="87"/>
      <c r="C724" s="87"/>
      <c r="D724" s="87"/>
      <c r="E724" s="87"/>
      <c r="F724" s="87"/>
      <c r="G724" s="87"/>
      <c r="H724" s="87"/>
      <c r="I724" s="87"/>
      <c r="J724" s="87"/>
      <c r="K724" s="87"/>
      <c r="L724" s="87"/>
      <c r="M724" s="97"/>
      <c r="N724" s="87"/>
      <c r="O724" s="87"/>
      <c r="P724" s="87"/>
      <c r="Q724" s="87"/>
      <c r="R724" s="87"/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87"/>
    </row>
    <row r="725">
      <c r="A725" s="87"/>
      <c r="B725" s="87"/>
      <c r="C725" s="87"/>
      <c r="D725" s="87"/>
      <c r="E725" s="87"/>
      <c r="F725" s="87"/>
      <c r="G725" s="87"/>
      <c r="H725" s="87"/>
      <c r="I725" s="87"/>
      <c r="J725" s="87"/>
      <c r="K725" s="87"/>
      <c r="L725" s="87"/>
      <c r="M725" s="97"/>
      <c r="N725" s="87"/>
      <c r="O725" s="87"/>
      <c r="P725" s="87"/>
      <c r="Q725" s="87"/>
      <c r="R725" s="87"/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87"/>
    </row>
    <row r="726">
      <c r="A726" s="87"/>
      <c r="B726" s="87"/>
      <c r="C726" s="87"/>
      <c r="D726" s="87"/>
      <c r="E726" s="87"/>
      <c r="F726" s="87"/>
      <c r="G726" s="87"/>
      <c r="H726" s="87"/>
      <c r="I726" s="87"/>
      <c r="J726" s="87"/>
      <c r="K726" s="87"/>
      <c r="L726" s="87"/>
      <c r="M726" s="97"/>
      <c r="N726" s="87"/>
      <c r="O726" s="87"/>
      <c r="P726" s="87"/>
      <c r="Q726" s="87"/>
      <c r="R726" s="87"/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87"/>
    </row>
    <row r="727">
      <c r="A727" s="87"/>
      <c r="B727" s="87"/>
      <c r="C727" s="87"/>
      <c r="D727" s="87"/>
      <c r="E727" s="87"/>
      <c r="F727" s="87"/>
      <c r="G727" s="87"/>
      <c r="H727" s="87"/>
      <c r="I727" s="87"/>
      <c r="J727" s="87"/>
      <c r="K727" s="87"/>
      <c r="L727" s="87"/>
      <c r="M727" s="97"/>
      <c r="N727" s="87"/>
      <c r="O727" s="87"/>
      <c r="P727" s="87"/>
      <c r="Q727" s="87"/>
      <c r="R727" s="87"/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87"/>
    </row>
    <row r="728">
      <c r="A728" s="87"/>
      <c r="B728" s="87"/>
      <c r="C728" s="87"/>
      <c r="D728" s="87"/>
      <c r="E728" s="87"/>
      <c r="F728" s="87"/>
      <c r="G728" s="87"/>
      <c r="H728" s="87"/>
      <c r="I728" s="87"/>
      <c r="J728" s="87"/>
      <c r="K728" s="87"/>
      <c r="L728" s="87"/>
      <c r="M728" s="97"/>
      <c r="N728" s="87"/>
      <c r="O728" s="87"/>
      <c r="P728" s="87"/>
      <c r="Q728" s="87"/>
      <c r="R728" s="87"/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87"/>
    </row>
    <row r="729">
      <c r="A729" s="87"/>
      <c r="B729" s="87"/>
      <c r="C729" s="87"/>
      <c r="D729" s="87"/>
      <c r="E729" s="87"/>
      <c r="F729" s="87"/>
      <c r="G729" s="87"/>
      <c r="H729" s="87"/>
      <c r="I729" s="87"/>
      <c r="J729" s="87"/>
      <c r="K729" s="87"/>
      <c r="L729" s="87"/>
      <c r="M729" s="97"/>
      <c r="N729" s="87"/>
      <c r="O729" s="87"/>
      <c r="P729" s="87"/>
      <c r="Q729" s="87"/>
      <c r="R729" s="87"/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87"/>
    </row>
    <row r="730">
      <c r="A730" s="87"/>
      <c r="B730" s="87"/>
      <c r="C730" s="87"/>
      <c r="D730" s="87"/>
      <c r="E730" s="87"/>
      <c r="F730" s="87"/>
      <c r="G730" s="87"/>
      <c r="H730" s="87"/>
      <c r="I730" s="87"/>
      <c r="J730" s="87"/>
      <c r="K730" s="87"/>
      <c r="L730" s="87"/>
      <c r="M730" s="97"/>
      <c r="N730" s="87"/>
      <c r="O730" s="87"/>
      <c r="P730" s="87"/>
      <c r="Q730" s="87"/>
      <c r="R730" s="87"/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87"/>
    </row>
    <row r="731">
      <c r="A731" s="87"/>
      <c r="B731" s="87"/>
      <c r="C731" s="87"/>
      <c r="D731" s="87"/>
      <c r="E731" s="87"/>
      <c r="F731" s="87"/>
      <c r="G731" s="87"/>
      <c r="H731" s="87"/>
      <c r="I731" s="87"/>
      <c r="J731" s="87"/>
      <c r="K731" s="87"/>
      <c r="L731" s="87"/>
      <c r="M731" s="97"/>
      <c r="N731" s="87"/>
      <c r="O731" s="87"/>
      <c r="P731" s="87"/>
      <c r="Q731" s="87"/>
      <c r="R731" s="87"/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87"/>
    </row>
    <row r="732">
      <c r="A732" s="87"/>
      <c r="B732" s="87"/>
      <c r="C732" s="87"/>
      <c r="D732" s="87"/>
      <c r="E732" s="87"/>
      <c r="F732" s="87"/>
      <c r="G732" s="87"/>
      <c r="H732" s="87"/>
      <c r="I732" s="87"/>
      <c r="J732" s="87"/>
      <c r="K732" s="87"/>
      <c r="L732" s="87"/>
      <c r="M732" s="97"/>
      <c r="N732" s="87"/>
      <c r="O732" s="87"/>
      <c r="P732" s="87"/>
      <c r="Q732" s="87"/>
      <c r="R732" s="87"/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87"/>
    </row>
    <row r="733">
      <c r="A733" s="87"/>
      <c r="B733" s="87"/>
      <c r="C733" s="87"/>
      <c r="D733" s="87"/>
      <c r="E733" s="87"/>
      <c r="F733" s="87"/>
      <c r="G733" s="87"/>
      <c r="H733" s="87"/>
      <c r="I733" s="87"/>
      <c r="J733" s="87"/>
      <c r="K733" s="87"/>
      <c r="L733" s="87"/>
      <c r="M733" s="97"/>
      <c r="N733" s="87"/>
      <c r="O733" s="87"/>
      <c r="P733" s="87"/>
      <c r="Q733" s="87"/>
      <c r="R733" s="87"/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87"/>
    </row>
    <row r="734">
      <c r="A734" s="87"/>
      <c r="B734" s="87"/>
      <c r="C734" s="87"/>
      <c r="D734" s="87"/>
      <c r="E734" s="87"/>
      <c r="F734" s="87"/>
      <c r="G734" s="87"/>
      <c r="H734" s="87"/>
      <c r="I734" s="87"/>
      <c r="J734" s="87"/>
      <c r="K734" s="87"/>
      <c r="L734" s="87"/>
      <c r="M734" s="97"/>
      <c r="N734" s="87"/>
      <c r="O734" s="87"/>
      <c r="P734" s="87"/>
      <c r="Q734" s="87"/>
      <c r="R734" s="87"/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87"/>
    </row>
    <row r="735">
      <c r="A735" s="87"/>
      <c r="B735" s="87"/>
      <c r="C735" s="87"/>
      <c r="D735" s="87"/>
      <c r="E735" s="87"/>
      <c r="F735" s="87"/>
      <c r="G735" s="87"/>
      <c r="H735" s="87"/>
      <c r="I735" s="87"/>
      <c r="J735" s="87"/>
      <c r="K735" s="87"/>
      <c r="L735" s="87"/>
      <c r="M735" s="9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87"/>
    </row>
    <row r="736">
      <c r="A736" s="87"/>
      <c r="B736" s="87"/>
      <c r="C736" s="87"/>
      <c r="D736" s="87"/>
      <c r="E736" s="87"/>
      <c r="F736" s="87"/>
      <c r="G736" s="87"/>
      <c r="H736" s="87"/>
      <c r="I736" s="87"/>
      <c r="J736" s="87"/>
      <c r="K736" s="87"/>
      <c r="L736" s="87"/>
      <c r="M736" s="97"/>
      <c r="N736" s="87"/>
      <c r="O736" s="87"/>
      <c r="P736" s="87"/>
      <c r="Q736" s="87"/>
      <c r="R736" s="87"/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87"/>
    </row>
    <row r="737">
      <c r="A737" s="87"/>
      <c r="B737" s="87"/>
      <c r="C737" s="87"/>
      <c r="D737" s="87"/>
      <c r="E737" s="87"/>
      <c r="F737" s="87"/>
      <c r="G737" s="87"/>
      <c r="H737" s="87"/>
      <c r="I737" s="87"/>
      <c r="J737" s="87"/>
      <c r="K737" s="87"/>
      <c r="L737" s="87"/>
      <c r="M737" s="97"/>
      <c r="N737" s="87"/>
      <c r="O737" s="87"/>
      <c r="P737" s="87"/>
      <c r="Q737" s="87"/>
      <c r="R737" s="87"/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87"/>
    </row>
    <row r="738">
      <c r="A738" s="87"/>
      <c r="B738" s="87"/>
      <c r="C738" s="87"/>
      <c r="D738" s="87"/>
      <c r="E738" s="87"/>
      <c r="F738" s="87"/>
      <c r="G738" s="87"/>
      <c r="H738" s="87"/>
      <c r="I738" s="87"/>
      <c r="J738" s="87"/>
      <c r="K738" s="87"/>
      <c r="L738" s="87"/>
      <c r="M738" s="97"/>
      <c r="N738" s="87"/>
      <c r="O738" s="87"/>
      <c r="P738" s="87"/>
      <c r="Q738" s="87"/>
      <c r="R738" s="87"/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87"/>
    </row>
    <row r="739">
      <c r="A739" s="87"/>
      <c r="B739" s="87"/>
      <c r="C739" s="87"/>
      <c r="D739" s="87"/>
      <c r="E739" s="87"/>
      <c r="F739" s="87"/>
      <c r="G739" s="87"/>
      <c r="H739" s="87"/>
      <c r="I739" s="87"/>
      <c r="J739" s="87"/>
      <c r="K739" s="87"/>
      <c r="L739" s="87"/>
      <c r="M739" s="9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87"/>
    </row>
    <row r="740">
      <c r="A740" s="87"/>
      <c r="B740" s="87"/>
      <c r="C740" s="87"/>
      <c r="D740" s="87"/>
      <c r="E740" s="87"/>
      <c r="F740" s="87"/>
      <c r="G740" s="87"/>
      <c r="H740" s="87"/>
      <c r="I740" s="87"/>
      <c r="J740" s="87"/>
      <c r="K740" s="87"/>
      <c r="L740" s="87"/>
      <c r="M740" s="97"/>
      <c r="N740" s="87"/>
      <c r="O740" s="87"/>
      <c r="P740" s="87"/>
      <c r="Q740" s="87"/>
      <c r="R740" s="87"/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87"/>
    </row>
    <row r="741">
      <c r="A741" s="87"/>
      <c r="B741" s="87"/>
      <c r="C741" s="87"/>
      <c r="D741" s="87"/>
      <c r="E741" s="87"/>
      <c r="F741" s="87"/>
      <c r="G741" s="87"/>
      <c r="H741" s="87"/>
      <c r="I741" s="87"/>
      <c r="J741" s="87"/>
      <c r="K741" s="87"/>
      <c r="L741" s="87"/>
      <c r="M741" s="97"/>
      <c r="N741" s="87"/>
      <c r="O741" s="87"/>
      <c r="P741" s="87"/>
      <c r="Q741" s="87"/>
      <c r="R741" s="87"/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87"/>
    </row>
    <row r="742">
      <c r="A742" s="87"/>
      <c r="B742" s="87"/>
      <c r="C742" s="87"/>
      <c r="D742" s="87"/>
      <c r="E742" s="87"/>
      <c r="F742" s="87"/>
      <c r="G742" s="87"/>
      <c r="H742" s="87"/>
      <c r="I742" s="87"/>
      <c r="J742" s="87"/>
      <c r="K742" s="87"/>
      <c r="L742" s="87"/>
      <c r="M742" s="97"/>
      <c r="N742" s="87"/>
      <c r="O742" s="87"/>
      <c r="P742" s="87"/>
      <c r="Q742" s="87"/>
      <c r="R742" s="87"/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87"/>
    </row>
    <row r="743">
      <c r="A743" s="87"/>
      <c r="B743" s="87"/>
      <c r="C743" s="87"/>
      <c r="D743" s="87"/>
      <c r="E743" s="87"/>
      <c r="F743" s="87"/>
      <c r="G743" s="87"/>
      <c r="H743" s="87"/>
      <c r="I743" s="87"/>
      <c r="J743" s="87"/>
      <c r="K743" s="87"/>
      <c r="L743" s="87"/>
      <c r="M743" s="97"/>
      <c r="N743" s="87"/>
      <c r="O743" s="87"/>
      <c r="P743" s="87"/>
      <c r="Q743" s="87"/>
      <c r="R743" s="87"/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87"/>
    </row>
    <row r="744">
      <c r="A744" s="87"/>
      <c r="B744" s="87"/>
      <c r="C744" s="87"/>
      <c r="D744" s="87"/>
      <c r="E744" s="87"/>
      <c r="F744" s="87"/>
      <c r="G744" s="87"/>
      <c r="H744" s="87"/>
      <c r="I744" s="87"/>
      <c r="J744" s="87"/>
      <c r="K744" s="87"/>
      <c r="L744" s="87"/>
      <c r="M744" s="97"/>
      <c r="N744" s="87"/>
      <c r="O744" s="87"/>
      <c r="P744" s="87"/>
      <c r="Q744" s="87"/>
      <c r="R744" s="87"/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87"/>
    </row>
    <row r="745">
      <c r="A745" s="87"/>
      <c r="B745" s="87"/>
      <c r="C745" s="87"/>
      <c r="D745" s="87"/>
      <c r="E745" s="87"/>
      <c r="F745" s="87"/>
      <c r="G745" s="87"/>
      <c r="H745" s="87"/>
      <c r="I745" s="87"/>
      <c r="J745" s="87"/>
      <c r="K745" s="87"/>
      <c r="L745" s="87"/>
      <c r="M745" s="97"/>
      <c r="N745" s="87"/>
      <c r="O745" s="87"/>
      <c r="P745" s="87"/>
      <c r="Q745" s="87"/>
      <c r="R745" s="87"/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87"/>
    </row>
    <row r="746">
      <c r="A746" s="87"/>
      <c r="B746" s="87"/>
      <c r="C746" s="87"/>
      <c r="D746" s="87"/>
      <c r="E746" s="87"/>
      <c r="F746" s="87"/>
      <c r="G746" s="87"/>
      <c r="H746" s="87"/>
      <c r="I746" s="87"/>
      <c r="J746" s="87"/>
      <c r="K746" s="87"/>
      <c r="L746" s="87"/>
      <c r="M746" s="97"/>
      <c r="N746" s="87"/>
      <c r="O746" s="87"/>
      <c r="P746" s="87"/>
      <c r="Q746" s="87"/>
      <c r="R746" s="87"/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87"/>
    </row>
    <row r="747">
      <c r="A747" s="87"/>
      <c r="B747" s="87"/>
      <c r="C747" s="87"/>
      <c r="D747" s="87"/>
      <c r="E747" s="87"/>
      <c r="F747" s="87"/>
      <c r="G747" s="87"/>
      <c r="H747" s="87"/>
      <c r="I747" s="87"/>
      <c r="J747" s="87"/>
      <c r="K747" s="87"/>
      <c r="L747" s="87"/>
      <c r="M747" s="97"/>
      <c r="N747" s="87"/>
      <c r="O747" s="87"/>
      <c r="P747" s="87"/>
      <c r="Q747" s="87"/>
      <c r="R747" s="87"/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87"/>
    </row>
    <row r="748">
      <c r="A748" s="87"/>
      <c r="B748" s="87"/>
      <c r="C748" s="87"/>
      <c r="D748" s="87"/>
      <c r="E748" s="87"/>
      <c r="F748" s="87"/>
      <c r="G748" s="87"/>
      <c r="H748" s="87"/>
      <c r="I748" s="87"/>
      <c r="J748" s="87"/>
      <c r="K748" s="87"/>
      <c r="L748" s="87"/>
      <c r="M748" s="97"/>
      <c r="N748" s="87"/>
      <c r="O748" s="87"/>
      <c r="P748" s="87"/>
      <c r="Q748" s="87"/>
      <c r="R748" s="87"/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87"/>
    </row>
    <row r="749">
      <c r="A749" s="87"/>
      <c r="B749" s="87"/>
      <c r="C749" s="87"/>
      <c r="D749" s="87"/>
      <c r="E749" s="87"/>
      <c r="F749" s="87"/>
      <c r="G749" s="87"/>
      <c r="H749" s="87"/>
      <c r="I749" s="87"/>
      <c r="J749" s="87"/>
      <c r="K749" s="87"/>
      <c r="L749" s="87"/>
      <c r="M749" s="97"/>
      <c r="N749" s="87"/>
      <c r="O749" s="87"/>
      <c r="P749" s="87"/>
      <c r="Q749" s="87"/>
      <c r="R749" s="87"/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87"/>
    </row>
    <row r="750">
      <c r="A750" s="87"/>
      <c r="B750" s="87"/>
      <c r="C750" s="87"/>
      <c r="D750" s="87"/>
      <c r="E750" s="87"/>
      <c r="F750" s="87"/>
      <c r="G750" s="87"/>
      <c r="H750" s="87"/>
      <c r="I750" s="87"/>
      <c r="J750" s="87"/>
      <c r="K750" s="87"/>
      <c r="L750" s="87"/>
      <c r="M750" s="97"/>
      <c r="N750" s="87"/>
      <c r="O750" s="87"/>
      <c r="P750" s="87"/>
      <c r="Q750" s="87"/>
      <c r="R750" s="87"/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87"/>
    </row>
    <row r="751">
      <c r="A751" s="87"/>
      <c r="B751" s="87"/>
      <c r="C751" s="87"/>
      <c r="D751" s="87"/>
      <c r="E751" s="87"/>
      <c r="F751" s="87"/>
      <c r="G751" s="87"/>
      <c r="H751" s="87"/>
      <c r="I751" s="87"/>
      <c r="J751" s="87"/>
      <c r="K751" s="87"/>
      <c r="L751" s="87"/>
      <c r="M751" s="97"/>
      <c r="N751" s="87"/>
      <c r="O751" s="87"/>
      <c r="P751" s="87"/>
      <c r="Q751" s="87"/>
      <c r="R751" s="87"/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87"/>
    </row>
    <row r="752">
      <c r="A752" s="87"/>
      <c r="B752" s="87"/>
      <c r="C752" s="87"/>
      <c r="D752" s="87"/>
      <c r="E752" s="87"/>
      <c r="F752" s="87"/>
      <c r="G752" s="87"/>
      <c r="H752" s="87"/>
      <c r="I752" s="87"/>
      <c r="J752" s="87"/>
      <c r="K752" s="87"/>
      <c r="L752" s="87"/>
      <c r="M752" s="97"/>
      <c r="N752" s="87"/>
      <c r="O752" s="87"/>
      <c r="P752" s="87"/>
      <c r="Q752" s="87"/>
      <c r="R752" s="87"/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87"/>
    </row>
    <row r="753">
      <c r="A753" s="87"/>
      <c r="B753" s="87"/>
      <c r="C753" s="87"/>
      <c r="D753" s="87"/>
      <c r="E753" s="87"/>
      <c r="F753" s="87"/>
      <c r="G753" s="87"/>
      <c r="H753" s="87"/>
      <c r="I753" s="87"/>
      <c r="J753" s="87"/>
      <c r="K753" s="87"/>
      <c r="L753" s="87"/>
      <c r="M753" s="97"/>
      <c r="N753" s="87"/>
      <c r="O753" s="87"/>
      <c r="P753" s="87"/>
      <c r="Q753" s="87"/>
      <c r="R753" s="87"/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87"/>
    </row>
    <row r="754">
      <c r="A754" s="87"/>
      <c r="B754" s="87"/>
      <c r="C754" s="87"/>
      <c r="D754" s="87"/>
      <c r="E754" s="87"/>
      <c r="F754" s="87"/>
      <c r="G754" s="87"/>
      <c r="H754" s="87"/>
      <c r="I754" s="87"/>
      <c r="J754" s="87"/>
      <c r="K754" s="87"/>
      <c r="L754" s="87"/>
      <c r="M754" s="97"/>
      <c r="N754" s="87"/>
      <c r="O754" s="87"/>
      <c r="P754" s="87"/>
      <c r="Q754" s="87"/>
      <c r="R754" s="87"/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87"/>
    </row>
    <row r="755">
      <c r="A755" s="87"/>
      <c r="B755" s="87"/>
      <c r="C755" s="87"/>
      <c r="D755" s="87"/>
      <c r="E755" s="87"/>
      <c r="F755" s="87"/>
      <c r="G755" s="87"/>
      <c r="H755" s="87"/>
      <c r="I755" s="87"/>
      <c r="J755" s="87"/>
      <c r="K755" s="87"/>
      <c r="L755" s="87"/>
      <c r="M755" s="97"/>
      <c r="N755" s="87"/>
      <c r="O755" s="87"/>
      <c r="P755" s="87"/>
      <c r="Q755" s="87"/>
      <c r="R755" s="87"/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87"/>
    </row>
    <row r="756">
      <c r="A756" s="87"/>
      <c r="B756" s="87"/>
      <c r="C756" s="87"/>
      <c r="D756" s="87"/>
      <c r="E756" s="87"/>
      <c r="F756" s="87"/>
      <c r="G756" s="87"/>
      <c r="H756" s="87"/>
      <c r="I756" s="87"/>
      <c r="J756" s="87"/>
      <c r="K756" s="87"/>
      <c r="L756" s="87"/>
      <c r="M756" s="97"/>
      <c r="N756" s="87"/>
      <c r="O756" s="87"/>
      <c r="P756" s="87"/>
      <c r="Q756" s="87"/>
      <c r="R756" s="87"/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87"/>
    </row>
    <row r="757">
      <c r="A757" s="87"/>
      <c r="B757" s="87"/>
      <c r="C757" s="87"/>
      <c r="D757" s="87"/>
      <c r="E757" s="87"/>
      <c r="F757" s="87"/>
      <c r="G757" s="87"/>
      <c r="H757" s="87"/>
      <c r="I757" s="87"/>
      <c r="J757" s="87"/>
      <c r="K757" s="87"/>
      <c r="L757" s="87"/>
      <c r="M757" s="97"/>
      <c r="N757" s="87"/>
      <c r="O757" s="87"/>
      <c r="P757" s="87"/>
      <c r="Q757" s="87"/>
      <c r="R757" s="87"/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87"/>
    </row>
    <row r="758">
      <c r="A758" s="87"/>
      <c r="B758" s="87"/>
      <c r="C758" s="87"/>
      <c r="D758" s="87"/>
      <c r="E758" s="87"/>
      <c r="F758" s="87"/>
      <c r="G758" s="87"/>
      <c r="H758" s="87"/>
      <c r="I758" s="87"/>
      <c r="J758" s="87"/>
      <c r="K758" s="87"/>
      <c r="L758" s="87"/>
      <c r="M758" s="97"/>
      <c r="N758" s="87"/>
      <c r="O758" s="87"/>
      <c r="P758" s="87"/>
      <c r="Q758" s="87"/>
      <c r="R758" s="87"/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87"/>
    </row>
    <row r="759">
      <c r="A759" s="87"/>
      <c r="B759" s="87"/>
      <c r="C759" s="87"/>
      <c r="D759" s="87"/>
      <c r="E759" s="87"/>
      <c r="F759" s="87"/>
      <c r="G759" s="87"/>
      <c r="H759" s="87"/>
      <c r="I759" s="87"/>
      <c r="J759" s="87"/>
      <c r="K759" s="87"/>
      <c r="L759" s="87"/>
      <c r="M759" s="97"/>
      <c r="N759" s="87"/>
      <c r="O759" s="87"/>
      <c r="P759" s="87"/>
      <c r="Q759" s="87"/>
      <c r="R759" s="87"/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</row>
    <row r="760">
      <c r="A760" s="87"/>
      <c r="B760" s="87"/>
      <c r="C760" s="87"/>
      <c r="D760" s="87"/>
      <c r="E760" s="87"/>
      <c r="F760" s="87"/>
      <c r="G760" s="87"/>
      <c r="H760" s="87"/>
      <c r="I760" s="87"/>
      <c r="J760" s="87"/>
      <c r="K760" s="87"/>
      <c r="L760" s="87"/>
      <c r="M760" s="97"/>
      <c r="N760" s="87"/>
      <c r="O760" s="87"/>
      <c r="P760" s="87"/>
      <c r="Q760" s="87"/>
      <c r="R760" s="87"/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87"/>
    </row>
    <row r="761">
      <c r="A761" s="87"/>
      <c r="B761" s="87"/>
      <c r="C761" s="87"/>
      <c r="D761" s="87"/>
      <c r="E761" s="87"/>
      <c r="F761" s="87"/>
      <c r="G761" s="87"/>
      <c r="H761" s="87"/>
      <c r="I761" s="87"/>
      <c r="J761" s="87"/>
      <c r="K761" s="87"/>
      <c r="L761" s="87"/>
      <c r="M761" s="97"/>
      <c r="N761" s="87"/>
      <c r="O761" s="87"/>
      <c r="P761" s="87"/>
      <c r="Q761" s="87"/>
      <c r="R761" s="87"/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87"/>
    </row>
    <row r="762">
      <c r="A762" s="87"/>
      <c r="B762" s="87"/>
      <c r="C762" s="87"/>
      <c r="D762" s="87"/>
      <c r="E762" s="87"/>
      <c r="F762" s="87"/>
      <c r="G762" s="87"/>
      <c r="H762" s="87"/>
      <c r="I762" s="87"/>
      <c r="J762" s="87"/>
      <c r="K762" s="87"/>
      <c r="L762" s="87"/>
      <c r="M762" s="97"/>
      <c r="N762" s="87"/>
      <c r="O762" s="87"/>
      <c r="P762" s="87"/>
      <c r="Q762" s="87"/>
      <c r="R762" s="87"/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87"/>
    </row>
    <row r="763">
      <c r="A763" s="87"/>
      <c r="B763" s="87"/>
      <c r="C763" s="87"/>
      <c r="D763" s="87"/>
      <c r="E763" s="87"/>
      <c r="F763" s="87"/>
      <c r="G763" s="87"/>
      <c r="H763" s="87"/>
      <c r="I763" s="87"/>
      <c r="J763" s="87"/>
      <c r="K763" s="87"/>
      <c r="L763" s="87"/>
      <c r="M763" s="97"/>
      <c r="N763" s="87"/>
      <c r="O763" s="87"/>
      <c r="P763" s="87"/>
      <c r="Q763" s="87"/>
      <c r="R763" s="87"/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87"/>
    </row>
    <row r="764">
      <c r="A764" s="87"/>
      <c r="B764" s="87"/>
      <c r="C764" s="87"/>
      <c r="D764" s="87"/>
      <c r="E764" s="87"/>
      <c r="F764" s="87"/>
      <c r="G764" s="87"/>
      <c r="H764" s="87"/>
      <c r="I764" s="87"/>
      <c r="J764" s="87"/>
      <c r="K764" s="87"/>
      <c r="L764" s="87"/>
      <c r="M764" s="97"/>
      <c r="N764" s="87"/>
      <c r="O764" s="87"/>
      <c r="P764" s="87"/>
      <c r="Q764" s="87"/>
      <c r="R764" s="87"/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87"/>
    </row>
    <row r="765">
      <c r="A765" s="87"/>
      <c r="B765" s="87"/>
      <c r="C765" s="87"/>
      <c r="D765" s="87"/>
      <c r="E765" s="87"/>
      <c r="F765" s="87"/>
      <c r="G765" s="87"/>
      <c r="H765" s="87"/>
      <c r="I765" s="87"/>
      <c r="J765" s="87"/>
      <c r="K765" s="87"/>
      <c r="L765" s="87"/>
      <c r="M765" s="97"/>
      <c r="N765" s="87"/>
      <c r="O765" s="87"/>
      <c r="P765" s="87"/>
      <c r="Q765" s="87"/>
      <c r="R765" s="87"/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87"/>
    </row>
    <row r="766">
      <c r="A766" s="87"/>
      <c r="B766" s="87"/>
      <c r="C766" s="87"/>
      <c r="D766" s="87"/>
      <c r="E766" s="87"/>
      <c r="F766" s="87"/>
      <c r="G766" s="87"/>
      <c r="H766" s="87"/>
      <c r="I766" s="87"/>
      <c r="J766" s="87"/>
      <c r="K766" s="87"/>
      <c r="L766" s="87"/>
      <c r="M766" s="97"/>
      <c r="N766" s="87"/>
      <c r="O766" s="87"/>
      <c r="P766" s="87"/>
      <c r="Q766" s="87"/>
      <c r="R766" s="87"/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87"/>
    </row>
    <row r="767">
      <c r="A767" s="87"/>
      <c r="B767" s="87"/>
      <c r="C767" s="87"/>
      <c r="D767" s="87"/>
      <c r="E767" s="87"/>
      <c r="F767" s="87"/>
      <c r="G767" s="87"/>
      <c r="H767" s="87"/>
      <c r="I767" s="87"/>
      <c r="J767" s="87"/>
      <c r="K767" s="87"/>
      <c r="L767" s="87"/>
      <c r="M767" s="97"/>
      <c r="N767" s="87"/>
      <c r="O767" s="87"/>
      <c r="P767" s="87"/>
      <c r="Q767" s="87"/>
      <c r="R767" s="87"/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87"/>
    </row>
    <row r="768">
      <c r="A768" s="87"/>
      <c r="B768" s="87"/>
      <c r="C768" s="87"/>
      <c r="D768" s="87"/>
      <c r="E768" s="87"/>
      <c r="F768" s="87"/>
      <c r="G768" s="87"/>
      <c r="H768" s="87"/>
      <c r="I768" s="87"/>
      <c r="J768" s="87"/>
      <c r="K768" s="87"/>
      <c r="L768" s="87"/>
      <c r="M768" s="97"/>
      <c r="N768" s="87"/>
      <c r="O768" s="87"/>
      <c r="P768" s="87"/>
      <c r="Q768" s="87"/>
      <c r="R768" s="87"/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87"/>
    </row>
    <row r="769">
      <c r="A769" s="87"/>
      <c r="B769" s="87"/>
      <c r="C769" s="87"/>
      <c r="D769" s="87"/>
      <c r="E769" s="87"/>
      <c r="F769" s="87"/>
      <c r="G769" s="87"/>
      <c r="H769" s="87"/>
      <c r="I769" s="87"/>
      <c r="J769" s="87"/>
      <c r="K769" s="87"/>
      <c r="L769" s="87"/>
      <c r="M769" s="97"/>
      <c r="N769" s="87"/>
      <c r="O769" s="87"/>
      <c r="P769" s="87"/>
      <c r="Q769" s="87"/>
      <c r="R769" s="87"/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87"/>
    </row>
    <row r="770">
      <c r="A770" s="87"/>
      <c r="B770" s="87"/>
      <c r="C770" s="87"/>
      <c r="D770" s="87"/>
      <c r="E770" s="87"/>
      <c r="F770" s="87"/>
      <c r="G770" s="87"/>
      <c r="H770" s="87"/>
      <c r="I770" s="87"/>
      <c r="J770" s="87"/>
      <c r="K770" s="87"/>
      <c r="L770" s="87"/>
      <c r="M770" s="97"/>
      <c r="N770" s="87"/>
      <c r="O770" s="87"/>
      <c r="P770" s="87"/>
      <c r="Q770" s="87"/>
      <c r="R770" s="87"/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87"/>
    </row>
    <row r="771">
      <c r="A771" s="87"/>
      <c r="B771" s="87"/>
      <c r="C771" s="87"/>
      <c r="D771" s="87"/>
      <c r="E771" s="87"/>
      <c r="F771" s="87"/>
      <c r="G771" s="87"/>
      <c r="H771" s="87"/>
      <c r="I771" s="87"/>
      <c r="J771" s="87"/>
      <c r="K771" s="87"/>
      <c r="L771" s="87"/>
      <c r="M771" s="97"/>
      <c r="N771" s="87"/>
      <c r="O771" s="87"/>
      <c r="P771" s="87"/>
      <c r="Q771" s="87"/>
      <c r="R771" s="87"/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87"/>
    </row>
    <row r="772">
      <c r="A772" s="87"/>
      <c r="B772" s="87"/>
      <c r="C772" s="87"/>
      <c r="D772" s="87"/>
      <c r="E772" s="87"/>
      <c r="F772" s="87"/>
      <c r="G772" s="87"/>
      <c r="H772" s="87"/>
      <c r="I772" s="87"/>
      <c r="J772" s="87"/>
      <c r="K772" s="87"/>
      <c r="L772" s="87"/>
      <c r="M772" s="97"/>
      <c r="N772" s="87"/>
      <c r="O772" s="87"/>
      <c r="P772" s="87"/>
      <c r="Q772" s="87"/>
      <c r="R772" s="87"/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87"/>
    </row>
    <row r="773">
      <c r="A773" s="87"/>
      <c r="B773" s="87"/>
      <c r="C773" s="87"/>
      <c r="D773" s="87"/>
      <c r="E773" s="87"/>
      <c r="F773" s="87"/>
      <c r="G773" s="87"/>
      <c r="H773" s="87"/>
      <c r="I773" s="87"/>
      <c r="J773" s="87"/>
      <c r="K773" s="87"/>
      <c r="L773" s="87"/>
      <c r="M773" s="97"/>
      <c r="N773" s="87"/>
      <c r="O773" s="87"/>
      <c r="P773" s="87"/>
      <c r="Q773" s="87"/>
      <c r="R773" s="87"/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87"/>
    </row>
    <row r="774">
      <c r="A774" s="87"/>
      <c r="B774" s="87"/>
      <c r="C774" s="87"/>
      <c r="D774" s="87"/>
      <c r="E774" s="87"/>
      <c r="F774" s="87"/>
      <c r="G774" s="87"/>
      <c r="H774" s="87"/>
      <c r="I774" s="87"/>
      <c r="J774" s="87"/>
      <c r="K774" s="87"/>
      <c r="L774" s="87"/>
      <c r="M774" s="97"/>
      <c r="N774" s="87"/>
      <c r="O774" s="87"/>
      <c r="P774" s="87"/>
      <c r="Q774" s="87"/>
      <c r="R774" s="87"/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87"/>
    </row>
    <row r="775">
      <c r="A775" s="87"/>
      <c r="B775" s="87"/>
      <c r="C775" s="87"/>
      <c r="D775" s="87"/>
      <c r="E775" s="87"/>
      <c r="F775" s="87"/>
      <c r="G775" s="87"/>
      <c r="H775" s="87"/>
      <c r="I775" s="87"/>
      <c r="J775" s="87"/>
      <c r="K775" s="87"/>
      <c r="L775" s="87"/>
      <c r="M775" s="97"/>
      <c r="N775" s="87"/>
      <c r="O775" s="87"/>
      <c r="P775" s="87"/>
      <c r="Q775" s="87"/>
      <c r="R775" s="87"/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87"/>
    </row>
    <row r="776">
      <c r="A776" s="87"/>
      <c r="B776" s="87"/>
      <c r="C776" s="87"/>
      <c r="D776" s="87"/>
      <c r="E776" s="87"/>
      <c r="F776" s="87"/>
      <c r="G776" s="87"/>
      <c r="H776" s="87"/>
      <c r="I776" s="87"/>
      <c r="J776" s="87"/>
      <c r="K776" s="87"/>
      <c r="L776" s="87"/>
      <c r="M776" s="97"/>
      <c r="N776" s="87"/>
      <c r="O776" s="87"/>
      <c r="P776" s="87"/>
      <c r="Q776" s="87"/>
      <c r="R776" s="87"/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87"/>
    </row>
    <row r="777">
      <c r="A777" s="87"/>
      <c r="B777" s="87"/>
      <c r="C777" s="87"/>
      <c r="D777" s="87"/>
      <c r="E777" s="87"/>
      <c r="F777" s="87"/>
      <c r="G777" s="87"/>
      <c r="H777" s="87"/>
      <c r="I777" s="87"/>
      <c r="J777" s="87"/>
      <c r="K777" s="87"/>
      <c r="L777" s="87"/>
      <c r="M777" s="97"/>
      <c r="N777" s="87"/>
      <c r="O777" s="87"/>
      <c r="P777" s="87"/>
      <c r="Q777" s="87"/>
      <c r="R777" s="87"/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87"/>
    </row>
    <row r="778">
      <c r="A778" s="87"/>
      <c r="B778" s="87"/>
      <c r="C778" s="87"/>
      <c r="D778" s="87"/>
      <c r="E778" s="87"/>
      <c r="F778" s="87"/>
      <c r="G778" s="87"/>
      <c r="H778" s="87"/>
      <c r="I778" s="87"/>
      <c r="J778" s="87"/>
      <c r="K778" s="87"/>
      <c r="L778" s="87"/>
      <c r="M778" s="97"/>
      <c r="N778" s="87"/>
      <c r="O778" s="87"/>
      <c r="P778" s="87"/>
      <c r="Q778" s="87"/>
      <c r="R778" s="87"/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87"/>
    </row>
    <row r="779">
      <c r="A779" s="87"/>
      <c r="B779" s="87"/>
      <c r="C779" s="87"/>
      <c r="D779" s="87"/>
      <c r="E779" s="87"/>
      <c r="F779" s="87"/>
      <c r="G779" s="87"/>
      <c r="H779" s="87"/>
      <c r="I779" s="87"/>
      <c r="J779" s="87"/>
      <c r="K779" s="87"/>
      <c r="L779" s="87"/>
      <c r="M779" s="97"/>
      <c r="N779" s="87"/>
      <c r="O779" s="87"/>
      <c r="P779" s="87"/>
      <c r="Q779" s="87"/>
      <c r="R779" s="87"/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87"/>
    </row>
    <row r="780">
      <c r="A780" s="87"/>
      <c r="B780" s="87"/>
      <c r="C780" s="87"/>
      <c r="D780" s="87"/>
      <c r="E780" s="87"/>
      <c r="F780" s="87"/>
      <c r="G780" s="87"/>
      <c r="H780" s="87"/>
      <c r="I780" s="87"/>
      <c r="J780" s="87"/>
      <c r="K780" s="87"/>
      <c r="L780" s="87"/>
      <c r="M780" s="97"/>
      <c r="N780" s="87"/>
      <c r="O780" s="87"/>
      <c r="P780" s="87"/>
      <c r="Q780" s="87"/>
      <c r="R780" s="87"/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87"/>
    </row>
    <row r="781">
      <c r="A781" s="87"/>
      <c r="B781" s="87"/>
      <c r="C781" s="87"/>
      <c r="D781" s="87"/>
      <c r="E781" s="87"/>
      <c r="F781" s="87"/>
      <c r="G781" s="87"/>
      <c r="H781" s="87"/>
      <c r="I781" s="87"/>
      <c r="J781" s="87"/>
      <c r="K781" s="87"/>
      <c r="L781" s="87"/>
      <c r="M781" s="97"/>
      <c r="N781" s="87"/>
      <c r="O781" s="87"/>
      <c r="P781" s="87"/>
      <c r="Q781" s="87"/>
      <c r="R781" s="87"/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87"/>
    </row>
    <row r="782">
      <c r="A782" s="87"/>
      <c r="B782" s="87"/>
      <c r="C782" s="87"/>
      <c r="D782" s="87"/>
      <c r="E782" s="87"/>
      <c r="F782" s="87"/>
      <c r="G782" s="87"/>
      <c r="H782" s="87"/>
      <c r="I782" s="87"/>
      <c r="J782" s="87"/>
      <c r="K782" s="87"/>
      <c r="L782" s="87"/>
      <c r="M782" s="97"/>
      <c r="N782" s="87"/>
      <c r="O782" s="87"/>
      <c r="P782" s="87"/>
      <c r="Q782" s="87"/>
      <c r="R782" s="87"/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87"/>
    </row>
    <row r="783">
      <c r="A783" s="87"/>
      <c r="B783" s="87"/>
      <c r="C783" s="87"/>
      <c r="D783" s="87"/>
      <c r="E783" s="87"/>
      <c r="F783" s="87"/>
      <c r="G783" s="87"/>
      <c r="H783" s="87"/>
      <c r="I783" s="87"/>
      <c r="J783" s="87"/>
      <c r="K783" s="87"/>
      <c r="L783" s="87"/>
      <c r="M783" s="97"/>
      <c r="N783" s="87"/>
      <c r="O783" s="87"/>
      <c r="P783" s="87"/>
      <c r="Q783" s="87"/>
      <c r="R783" s="87"/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87"/>
    </row>
    <row r="784">
      <c r="A784" s="87"/>
      <c r="B784" s="87"/>
      <c r="C784" s="87"/>
      <c r="D784" s="87"/>
      <c r="E784" s="87"/>
      <c r="F784" s="87"/>
      <c r="G784" s="87"/>
      <c r="H784" s="87"/>
      <c r="I784" s="87"/>
      <c r="J784" s="87"/>
      <c r="K784" s="87"/>
      <c r="L784" s="87"/>
      <c r="M784" s="97"/>
      <c r="N784" s="87"/>
      <c r="O784" s="87"/>
      <c r="P784" s="87"/>
      <c r="Q784" s="87"/>
      <c r="R784" s="87"/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87"/>
    </row>
    <row r="785">
      <c r="A785" s="87"/>
      <c r="B785" s="87"/>
      <c r="C785" s="87"/>
      <c r="D785" s="87"/>
      <c r="E785" s="87"/>
      <c r="F785" s="87"/>
      <c r="G785" s="87"/>
      <c r="H785" s="87"/>
      <c r="I785" s="87"/>
      <c r="J785" s="87"/>
      <c r="K785" s="87"/>
      <c r="L785" s="87"/>
      <c r="M785" s="97"/>
      <c r="N785" s="87"/>
      <c r="O785" s="87"/>
      <c r="P785" s="87"/>
      <c r="Q785" s="87"/>
      <c r="R785" s="87"/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87"/>
    </row>
    <row r="786">
      <c r="A786" s="87"/>
      <c r="B786" s="87"/>
      <c r="C786" s="87"/>
      <c r="D786" s="87"/>
      <c r="E786" s="87"/>
      <c r="F786" s="87"/>
      <c r="G786" s="87"/>
      <c r="H786" s="87"/>
      <c r="I786" s="87"/>
      <c r="J786" s="87"/>
      <c r="K786" s="87"/>
      <c r="L786" s="87"/>
      <c r="M786" s="97"/>
      <c r="N786" s="87"/>
      <c r="O786" s="87"/>
      <c r="P786" s="87"/>
      <c r="Q786" s="87"/>
      <c r="R786" s="87"/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87"/>
    </row>
    <row r="787">
      <c r="A787" s="87"/>
      <c r="B787" s="87"/>
      <c r="C787" s="87"/>
      <c r="D787" s="87"/>
      <c r="E787" s="87"/>
      <c r="F787" s="87"/>
      <c r="G787" s="87"/>
      <c r="H787" s="87"/>
      <c r="I787" s="87"/>
      <c r="J787" s="87"/>
      <c r="K787" s="87"/>
      <c r="L787" s="87"/>
      <c r="M787" s="97"/>
      <c r="N787" s="87"/>
      <c r="O787" s="87"/>
      <c r="P787" s="87"/>
      <c r="Q787" s="87"/>
      <c r="R787" s="87"/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87"/>
    </row>
    <row r="788">
      <c r="A788" s="87"/>
      <c r="B788" s="87"/>
      <c r="C788" s="87"/>
      <c r="D788" s="87"/>
      <c r="E788" s="87"/>
      <c r="F788" s="87"/>
      <c r="G788" s="87"/>
      <c r="H788" s="87"/>
      <c r="I788" s="87"/>
      <c r="J788" s="87"/>
      <c r="K788" s="87"/>
      <c r="L788" s="87"/>
      <c r="M788" s="97"/>
      <c r="N788" s="87"/>
      <c r="O788" s="87"/>
      <c r="P788" s="87"/>
      <c r="Q788" s="87"/>
      <c r="R788" s="87"/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87"/>
    </row>
    <row r="789">
      <c r="A789" s="87"/>
      <c r="B789" s="87"/>
      <c r="C789" s="87"/>
      <c r="D789" s="87"/>
      <c r="E789" s="87"/>
      <c r="F789" s="87"/>
      <c r="G789" s="87"/>
      <c r="H789" s="87"/>
      <c r="I789" s="87"/>
      <c r="J789" s="87"/>
      <c r="K789" s="87"/>
      <c r="L789" s="87"/>
      <c r="M789" s="97"/>
      <c r="N789" s="87"/>
      <c r="O789" s="87"/>
      <c r="P789" s="87"/>
      <c r="Q789" s="87"/>
      <c r="R789" s="87"/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87"/>
    </row>
    <row r="790">
      <c r="A790" s="87"/>
      <c r="B790" s="87"/>
      <c r="C790" s="87"/>
      <c r="D790" s="87"/>
      <c r="E790" s="87"/>
      <c r="F790" s="87"/>
      <c r="G790" s="87"/>
      <c r="H790" s="87"/>
      <c r="I790" s="87"/>
      <c r="J790" s="87"/>
      <c r="K790" s="87"/>
      <c r="L790" s="87"/>
      <c r="M790" s="97"/>
      <c r="N790" s="87"/>
      <c r="O790" s="87"/>
      <c r="P790" s="87"/>
      <c r="Q790" s="87"/>
      <c r="R790" s="87"/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87"/>
    </row>
    <row r="791">
      <c r="A791" s="87"/>
      <c r="B791" s="87"/>
      <c r="C791" s="87"/>
      <c r="D791" s="87"/>
      <c r="E791" s="87"/>
      <c r="F791" s="87"/>
      <c r="G791" s="87"/>
      <c r="H791" s="87"/>
      <c r="I791" s="87"/>
      <c r="J791" s="87"/>
      <c r="K791" s="87"/>
      <c r="L791" s="87"/>
      <c r="M791" s="97"/>
      <c r="N791" s="87"/>
      <c r="O791" s="87"/>
      <c r="P791" s="87"/>
      <c r="Q791" s="87"/>
      <c r="R791" s="87"/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87"/>
    </row>
    <row r="792">
      <c r="A792" s="87"/>
      <c r="B792" s="87"/>
      <c r="C792" s="87"/>
      <c r="D792" s="87"/>
      <c r="E792" s="87"/>
      <c r="F792" s="87"/>
      <c r="G792" s="87"/>
      <c r="H792" s="87"/>
      <c r="I792" s="87"/>
      <c r="J792" s="87"/>
      <c r="K792" s="87"/>
      <c r="L792" s="87"/>
      <c r="M792" s="97"/>
      <c r="N792" s="87"/>
      <c r="O792" s="87"/>
      <c r="P792" s="87"/>
      <c r="Q792" s="87"/>
      <c r="R792" s="87"/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87"/>
    </row>
    <row r="793">
      <c r="A793" s="87"/>
      <c r="B793" s="87"/>
      <c r="C793" s="87"/>
      <c r="D793" s="87"/>
      <c r="E793" s="87"/>
      <c r="F793" s="87"/>
      <c r="G793" s="87"/>
      <c r="H793" s="87"/>
      <c r="I793" s="87"/>
      <c r="J793" s="87"/>
      <c r="K793" s="87"/>
      <c r="L793" s="87"/>
      <c r="M793" s="97"/>
      <c r="N793" s="87"/>
      <c r="O793" s="87"/>
      <c r="P793" s="87"/>
      <c r="Q793" s="87"/>
      <c r="R793" s="87"/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87"/>
    </row>
    <row r="794">
      <c r="A794" s="87"/>
      <c r="B794" s="87"/>
      <c r="C794" s="87"/>
      <c r="D794" s="87"/>
      <c r="E794" s="87"/>
      <c r="F794" s="87"/>
      <c r="G794" s="87"/>
      <c r="H794" s="87"/>
      <c r="I794" s="87"/>
      <c r="J794" s="87"/>
      <c r="K794" s="87"/>
      <c r="L794" s="87"/>
      <c r="M794" s="97"/>
      <c r="N794" s="87"/>
      <c r="O794" s="87"/>
      <c r="P794" s="87"/>
      <c r="Q794" s="87"/>
      <c r="R794" s="87"/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87"/>
    </row>
    <row r="795">
      <c r="A795" s="87"/>
      <c r="B795" s="87"/>
      <c r="C795" s="87"/>
      <c r="D795" s="87"/>
      <c r="E795" s="87"/>
      <c r="F795" s="87"/>
      <c r="G795" s="87"/>
      <c r="H795" s="87"/>
      <c r="I795" s="87"/>
      <c r="J795" s="87"/>
      <c r="K795" s="87"/>
      <c r="L795" s="87"/>
      <c r="M795" s="97"/>
      <c r="N795" s="87"/>
      <c r="O795" s="87"/>
      <c r="P795" s="87"/>
      <c r="Q795" s="87"/>
      <c r="R795" s="87"/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87"/>
    </row>
    <row r="796">
      <c r="A796" s="87"/>
      <c r="B796" s="87"/>
      <c r="C796" s="87"/>
      <c r="D796" s="87"/>
      <c r="E796" s="87"/>
      <c r="F796" s="87"/>
      <c r="G796" s="87"/>
      <c r="H796" s="87"/>
      <c r="I796" s="87"/>
      <c r="J796" s="87"/>
      <c r="K796" s="87"/>
      <c r="L796" s="87"/>
      <c r="M796" s="97"/>
      <c r="N796" s="87"/>
      <c r="O796" s="87"/>
      <c r="P796" s="87"/>
      <c r="Q796" s="87"/>
      <c r="R796" s="87"/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87"/>
    </row>
    <row r="797">
      <c r="A797" s="87"/>
      <c r="B797" s="87"/>
      <c r="C797" s="87"/>
      <c r="D797" s="87"/>
      <c r="E797" s="87"/>
      <c r="F797" s="87"/>
      <c r="G797" s="87"/>
      <c r="H797" s="87"/>
      <c r="I797" s="87"/>
      <c r="J797" s="87"/>
      <c r="K797" s="87"/>
      <c r="L797" s="87"/>
      <c r="M797" s="97"/>
      <c r="N797" s="87"/>
      <c r="O797" s="87"/>
      <c r="P797" s="87"/>
      <c r="Q797" s="87"/>
      <c r="R797" s="87"/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87"/>
    </row>
    <row r="798">
      <c r="A798" s="87"/>
      <c r="B798" s="87"/>
      <c r="C798" s="87"/>
      <c r="D798" s="87"/>
      <c r="E798" s="87"/>
      <c r="F798" s="87"/>
      <c r="G798" s="87"/>
      <c r="H798" s="87"/>
      <c r="I798" s="87"/>
      <c r="J798" s="87"/>
      <c r="K798" s="87"/>
      <c r="L798" s="87"/>
      <c r="M798" s="97"/>
      <c r="N798" s="87"/>
      <c r="O798" s="87"/>
      <c r="P798" s="87"/>
      <c r="Q798" s="87"/>
      <c r="R798" s="87"/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87"/>
    </row>
    <row r="799">
      <c r="A799" s="87"/>
      <c r="B799" s="87"/>
      <c r="C799" s="87"/>
      <c r="D799" s="87"/>
      <c r="E799" s="87"/>
      <c r="F799" s="87"/>
      <c r="G799" s="87"/>
      <c r="H799" s="87"/>
      <c r="I799" s="87"/>
      <c r="J799" s="87"/>
      <c r="K799" s="87"/>
      <c r="L799" s="87"/>
      <c r="M799" s="97"/>
      <c r="N799" s="87"/>
      <c r="O799" s="87"/>
      <c r="P799" s="87"/>
      <c r="Q799" s="87"/>
      <c r="R799" s="87"/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87"/>
    </row>
    <row r="800">
      <c r="A800" s="87"/>
      <c r="B800" s="87"/>
      <c r="C800" s="87"/>
      <c r="D800" s="87"/>
      <c r="E800" s="87"/>
      <c r="F800" s="87"/>
      <c r="G800" s="87"/>
      <c r="H800" s="87"/>
      <c r="I800" s="87"/>
      <c r="J800" s="87"/>
      <c r="K800" s="87"/>
      <c r="L800" s="87"/>
      <c r="M800" s="97"/>
      <c r="N800" s="87"/>
      <c r="O800" s="87"/>
      <c r="P800" s="87"/>
      <c r="Q800" s="87"/>
      <c r="R800" s="87"/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87"/>
    </row>
    <row r="801">
      <c r="A801" s="87"/>
      <c r="B801" s="87"/>
      <c r="C801" s="87"/>
      <c r="D801" s="87"/>
      <c r="E801" s="87"/>
      <c r="F801" s="87"/>
      <c r="G801" s="87"/>
      <c r="H801" s="87"/>
      <c r="I801" s="87"/>
      <c r="J801" s="87"/>
      <c r="K801" s="87"/>
      <c r="L801" s="87"/>
      <c r="M801" s="97"/>
      <c r="N801" s="87"/>
      <c r="O801" s="87"/>
      <c r="P801" s="87"/>
      <c r="Q801" s="87"/>
      <c r="R801" s="87"/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</row>
    <row r="802">
      <c r="A802" s="87"/>
      <c r="B802" s="87"/>
      <c r="C802" s="87"/>
      <c r="D802" s="87"/>
      <c r="E802" s="87"/>
      <c r="F802" s="87"/>
      <c r="G802" s="87"/>
      <c r="H802" s="87"/>
      <c r="I802" s="87"/>
      <c r="J802" s="87"/>
      <c r="K802" s="87"/>
      <c r="L802" s="87"/>
      <c r="M802" s="97"/>
      <c r="N802" s="87"/>
      <c r="O802" s="87"/>
      <c r="P802" s="87"/>
      <c r="Q802" s="87"/>
      <c r="R802" s="87"/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</row>
    <row r="803">
      <c r="A803" s="87"/>
      <c r="B803" s="87"/>
      <c r="C803" s="87"/>
      <c r="D803" s="87"/>
      <c r="E803" s="87"/>
      <c r="F803" s="87"/>
      <c r="G803" s="87"/>
      <c r="H803" s="87"/>
      <c r="I803" s="87"/>
      <c r="J803" s="87"/>
      <c r="K803" s="87"/>
      <c r="L803" s="87"/>
      <c r="M803" s="97"/>
      <c r="N803" s="87"/>
      <c r="O803" s="87"/>
      <c r="P803" s="87"/>
      <c r="Q803" s="87"/>
      <c r="R803" s="87"/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</row>
    <row r="804">
      <c r="A804" s="87"/>
      <c r="B804" s="87"/>
      <c r="C804" s="87"/>
      <c r="D804" s="87"/>
      <c r="E804" s="87"/>
      <c r="F804" s="87"/>
      <c r="G804" s="87"/>
      <c r="H804" s="87"/>
      <c r="I804" s="87"/>
      <c r="J804" s="87"/>
      <c r="K804" s="87"/>
      <c r="L804" s="87"/>
      <c r="M804" s="97"/>
      <c r="N804" s="87"/>
      <c r="O804" s="87"/>
      <c r="P804" s="87"/>
      <c r="Q804" s="87"/>
      <c r="R804" s="87"/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</row>
    <row r="805">
      <c r="A805" s="87"/>
      <c r="B805" s="87"/>
      <c r="C805" s="87"/>
      <c r="D805" s="87"/>
      <c r="E805" s="87"/>
      <c r="F805" s="87"/>
      <c r="G805" s="87"/>
      <c r="H805" s="87"/>
      <c r="I805" s="87"/>
      <c r="J805" s="87"/>
      <c r="K805" s="87"/>
      <c r="L805" s="87"/>
      <c r="M805" s="97"/>
      <c r="N805" s="87"/>
      <c r="O805" s="87"/>
      <c r="P805" s="87"/>
      <c r="Q805" s="87"/>
      <c r="R805" s="87"/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</row>
    <row r="806">
      <c r="A806" s="87"/>
      <c r="B806" s="87"/>
      <c r="C806" s="87"/>
      <c r="D806" s="87"/>
      <c r="E806" s="87"/>
      <c r="F806" s="87"/>
      <c r="G806" s="87"/>
      <c r="H806" s="87"/>
      <c r="I806" s="87"/>
      <c r="J806" s="87"/>
      <c r="K806" s="87"/>
      <c r="L806" s="87"/>
      <c r="M806" s="97"/>
      <c r="N806" s="87"/>
      <c r="O806" s="87"/>
      <c r="P806" s="87"/>
      <c r="Q806" s="87"/>
      <c r="R806" s="87"/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</row>
    <row r="807">
      <c r="A807" s="87"/>
      <c r="B807" s="87"/>
      <c r="C807" s="87"/>
      <c r="D807" s="87"/>
      <c r="E807" s="87"/>
      <c r="F807" s="87"/>
      <c r="G807" s="87"/>
      <c r="H807" s="87"/>
      <c r="I807" s="87"/>
      <c r="J807" s="87"/>
      <c r="K807" s="87"/>
      <c r="L807" s="87"/>
      <c r="M807" s="97"/>
      <c r="N807" s="87"/>
      <c r="O807" s="87"/>
      <c r="P807" s="87"/>
      <c r="Q807" s="87"/>
      <c r="R807" s="87"/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</row>
    <row r="808">
      <c r="A808" s="87"/>
      <c r="B808" s="87"/>
      <c r="C808" s="87"/>
      <c r="D808" s="87"/>
      <c r="E808" s="87"/>
      <c r="F808" s="87"/>
      <c r="G808" s="87"/>
      <c r="H808" s="87"/>
      <c r="I808" s="87"/>
      <c r="J808" s="87"/>
      <c r="K808" s="87"/>
      <c r="L808" s="87"/>
      <c r="M808" s="97"/>
      <c r="N808" s="87"/>
      <c r="O808" s="87"/>
      <c r="P808" s="87"/>
      <c r="Q808" s="87"/>
      <c r="R808" s="87"/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</row>
    <row r="809">
      <c r="A809" s="87"/>
      <c r="B809" s="87"/>
      <c r="C809" s="87"/>
      <c r="D809" s="87"/>
      <c r="E809" s="87"/>
      <c r="F809" s="87"/>
      <c r="G809" s="87"/>
      <c r="H809" s="87"/>
      <c r="I809" s="87"/>
      <c r="J809" s="87"/>
      <c r="K809" s="87"/>
      <c r="L809" s="87"/>
      <c r="M809" s="97"/>
      <c r="N809" s="87"/>
      <c r="O809" s="87"/>
      <c r="P809" s="87"/>
      <c r="Q809" s="87"/>
      <c r="R809" s="87"/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</row>
    <row r="810">
      <c r="A810" s="87"/>
      <c r="B810" s="87"/>
      <c r="C810" s="87"/>
      <c r="D810" s="87"/>
      <c r="E810" s="87"/>
      <c r="F810" s="87"/>
      <c r="G810" s="87"/>
      <c r="H810" s="87"/>
      <c r="I810" s="87"/>
      <c r="J810" s="87"/>
      <c r="K810" s="87"/>
      <c r="L810" s="87"/>
      <c r="M810" s="97"/>
      <c r="N810" s="87"/>
      <c r="O810" s="87"/>
      <c r="P810" s="87"/>
      <c r="Q810" s="87"/>
      <c r="R810" s="87"/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</row>
    <row r="811">
      <c r="A811" s="87"/>
      <c r="B811" s="87"/>
      <c r="C811" s="87"/>
      <c r="D811" s="87"/>
      <c r="E811" s="87"/>
      <c r="F811" s="87"/>
      <c r="G811" s="87"/>
      <c r="H811" s="87"/>
      <c r="I811" s="87"/>
      <c r="J811" s="87"/>
      <c r="K811" s="87"/>
      <c r="L811" s="87"/>
      <c r="M811" s="97"/>
      <c r="N811" s="87"/>
      <c r="O811" s="87"/>
      <c r="P811" s="87"/>
      <c r="Q811" s="87"/>
      <c r="R811" s="87"/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87"/>
    </row>
    <row r="812">
      <c r="A812" s="87"/>
      <c r="B812" s="87"/>
      <c r="C812" s="87"/>
      <c r="D812" s="87"/>
      <c r="E812" s="87"/>
      <c r="F812" s="87"/>
      <c r="G812" s="87"/>
      <c r="H812" s="87"/>
      <c r="I812" s="87"/>
      <c r="J812" s="87"/>
      <c r="K812" s="87"/>
      <c r="L812" s="87"/>
      <c r="M812" s="97"/>
      <c r="N812" s="87"/>
      <c r="O812" s="87"/>
      <c r="P812" s="87"/>
      <c r="Q812" s="87"/>
      <c r="R812" s="87"/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87"/>
    </row>
    <row r="813">
      <c r="A813" s="87"/>
      <c r="B813" s="87"/>
      <c r="C813" s="87"/>
      <c r="D813" s="87"/>
      <c r="E813" s="87"/>
      <c r="F813" s="87"/>
      <c r="G813" s="87"/>
      <c r="H813" s="87"/>
      <c r="I813" s="87"/>
      <c r="J813" s="87"/>
      <c r="K813" s="87"/>
      <c r="L813" s="87"/>
      <c r="M813" s="97"/>
      <c r="N813" s="87"/>
      <c r="O813" s="87"/>
      <c r="P813" s="87"/>
      <c r="Q813" s="87"/>
      <c r="R813" s="87"/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87"/>
    </row>
    <row r="814">
      <c r="A814" s="87"/>
      <c r="B814" s="87"/>
      <c r="C814" s="87"/>
      <c r="D814" s="87"/>
      <c r="E814" s="87"/>
      <c r="F814" s="87"/>
      <c r="G814" s="87"/>
      <c r="H814" s="87"/>
      <c r="I814" s="87"/>
      <c r="J814" s="87"/>
      <c r="K814" s="87"/>
      <c r="L814" s="87"/>
      <c r="M814" s="97"/>
      <c r="N814" s="87"/>
      <c r="O814" s="87"/>
      <c r="P814" s="87"/>
      <c r="Q814" s="87"/>
      <c r="R814" s="87"/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87"/>
    </row>
    <row r="815">
      <c r="A815" s="87"/>
      <c r="B815" s="87"/>
      <c r="C815" s="87"/>
      <c r="D815" s="87"/>
      <c r="E815" s="87"/>
      <c r="F815" s="87"/>
      <c r="G815" s="87"/>
      <c r="H815" s="87"/>
      <c r="I815" s="87"/>
      <c r="J815" s="87"/>
      <c r="K815" s="87"/>
      <c r="L815" s="87"/>
      <c r="M815" s="97"/>
      <c r="N815" s="87"/>
      <c r="O815" s="87"/>
      <c r="P815" s="87"/>
      <c r="Q815" s="87"/>
      <c r="R815" s="87"/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87"/>
    </row>
    <row r="816">
      <c r="A816" s="87"/>
      <c r="B816" s="87"/>
      <c r="C816" s="87"/>
      <c r="D816" s="87"/>
      <c r="E816" s="87"/>
      <c r="F816" s="87"/>
      <c r="G816" s="87"/>
      <c r="H816" s="87"/>
      <c r="I816" s="87"/>
      <c r="J816" s="87"/>
      <c r="K816" s="87"/>
      <c r="L816" s="87"/>
      <c r="M816" s="97"/>
      <c r="N816" s="87"/>
      <c r="O816" s="87"/>
      <c r="P816" s="87"/>
      <c r="Q816" s="87"/>
      <c r="R816" s="87"/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87"/>
    </row>
    <row r="817">
      <c r="A817" s="87"/>
      <c r="B817" s="87"/>
      <c r="C817" s="87"/>
      <c r="D817" s="87"/>
      <c r="E817" s="87"/>
      <c r="F817" s="87"/>
      <c r="G817" s="87"/>
      <c r="H817" s="87"/>
      <c r="I817" s="87"/>
      <c r="J817" s="87"/>
      <c r="K817" s="87"/>
      <c r="L817" s="87"/>
      <c r="M817" s="9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87"/>
    </row>
    <row r="818">
      <c r="A818" s="87"/>
      <c r="B818" s="87"/>
      <c r="C818" s="87"/>
      <c r="D818" s="87"/>
      <c r="E818" s="87"/>
      <c r="F818" s="87"/>
      <c r="G818" s="87"/>
      <c r="H818" s="87"/>
      <c r="I818" s="87"/>
      <c r="J818" s="87"/>
      <c r="K818" s="87"/>
      <c r="L818" s="87"/>
      <c r="M818" s="97"/>
      <c r="N818" s="87"/>
      <c r="O818" s="87"/>
      <c r="P818" s="87"/>
      <c r="Q818" s="87"/>
      <c r="R818" s="87"/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87"/>
    </row>
    <row r="819">
      <c r="A819" s="87"/>
      <c r="B819" s="87"/>
      <c r="C819" s="87"/>
      <c r="D819" s="87"/>
      <c r="E819" s="87"/>
      <c r="F819" s="87"/>
      <c r="G819" s="87"/>
      <c r="H819" s="87"/>
      <c r="I819" s="87"/>
      <c r="J819" s="87"/>
      <c r="K819" s="87"/>
      <c r="L819" s="87"/>
      <c r="M819" s="97"/>
      <c r="N819" s="87"/>
      <c r="O819" s="87"/>
      <c r="P819" s="87"/>
      <c r="Q819" s="87"/>
      <c r="R819" s="87"/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87"/>
    </row>
    <row r="820">
      <c r="A820" s="87"/>
      <c r="B820" s="87"/>
      <c r="C820" s="87"/>
      <c r="D820" s="87"/>
      <c r="E820" s="87"/>
      <c r="F820" s="87"/>
      <c r="G820" s="87"/>
      <c r="H820" s="87"/>
      <c r="I820" s="87"/>
      <c r="J820" s="87"/>
      <c r="K820" s="87"/>
      <c r="L820" s="87"/>
      <c r="M820" s="9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87"/>
    </row>
    <row r="821">
      <c r="A821" s="87"/>
      <c r="B821" s="87"/>
      <c r="C821" s="87"/>
      <c r="D821" s="87"/>
      <c r="E821" s="87"/>
      <c r="F821" s="87"/>
      <c r="G821" s="87"/>
      <c r="H821" s="87"/>
      <c r="I821" s="87"/>
      <c r="J821" s="87"/>
      <c r="K821" s="87"/>
      <c r="L821" s="87"/>
      <c r="M821" s="9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87"/>
    </row>
    <row r="822">
      <c r="A822" s="87"/>
      <c r="B822" s="87"/>
      <c r="C822" s="87"/>
      <c r="D822" s="87"/>
      <c r="E822" s="87"/>
      <c r="F822" s="87"/>
      <c r="G822" s="87"/>
      <c r="H822" s="87"/>
      <c r="I822" s="87"/>
      <c r="J822" s="87"/>
      <c r="K822" s="87"/>
      <c r="L822" s="87"/>
      <c r="M822" s="9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87"/>
    </row>
    <row r="823">
      <c r="A823" s="87"/>
      <c r="B823" s="87"/>
      <c r="C823" s="87"/>
      <c r="D823" s="87"/>
      <c r="E823" s="87"/>
      <c r="F823" s="87"/>
      <c r="G823" s="87"/>
      <c r="H823" s="87"/>
      <c r="I823" s="87"/>
      <c r="J823" s="87"/>
      <c r="K823" s="87"/>
      <c r="L823" s="87"/>
      <c r="M823" s="9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87"/>
    </row>
    <row r="824">
      <c r="A824" s="87"/>
      <c r="B824" s="87"/>
      <c r="C824" s="87"/>
      <c r="D824" s="87"/>
      <c r="E824" s="87"/>
      <c r="F824" s="87"/>
      <c r="G824" s="87"/>
      <c r="H824" s="87"/>
      <c r="I824" s="87"/>
      <c r="J824" s="87"/>
      <c r="K824" s="87"/>
      <c r="L824" s="87"/>
      <c r="M824" s="97"/>
      <c r="N824" s="87"/>
      <c r="O824" s="87"/>
      <c r="P824" s="87"/>
      <c r="Q824" s="87"/>
      <c r="R824" s="87"/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87"/>
    </row>
    <row r="825">
      <c r="A825" s="87"/>
      <c r="B825" s="87"/>
      <c r="C825" s="87"/>
      <c r="D825" s="87"/>
      <c r="E825" s="87"/>
      <c r="F825" s="87"/>
      <c r="G825" s="87"/>
      <c r="H825" s="87"/>
      <c r="I825" s="87"/>
      <c r="J825" s="87"/>
      <c r="K825" s="87"/>
      <c r="L825" s="87"/>
      <c r="M825" s="97"/>
      <c r="N825" s="87"/>
      <c r="O825" s="87"/>
      <c r="P825" s="87"/>
      <c r="Q825" s="87"/>
      <c r="R825" s="87"/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87"/>
    </row>
    <row r="826">
      <c r="A826" s="87"/>
      <c r="B826" s="87"/>
      <c r="C826" s="87"/>
      <c r="D826" s="87"/>
      <c r="E826" s="87"/>
      <c r="F826" s="87"/>
      <c r="G826" s="87"/>
      <c r="H826" s="87"/>
      <c r="I826" s="87"/>
      <c r="J826" s="87"/>
      <c r="K826" s="87"/>
      <c r="L826" s="87"/>
      <c r="M826" s="97"/>
      <c r="N826" s="87"/>
      <c r="O826" s="87"/>
      <c r="P826" s="87"/>
      <c r="Q826" s="87"/>
      <c r="R826" s="87"/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87"/>
    </row>
    <row r="827">
      <c r="A827" s="87"/>
      <c r="B827" s="87"/>
      <c r="C827" s="87"/>
      <c r="D827" s="87"/>
      <c r="E827" s="87"/>
      <c r="F827" s="87"/>
      <c r="G827" s="87"/>
      <c r="H827" s="87"/>
      <c r="I827" s="87"/>
      <c r="J827" s="87"/>
      <c r="K827" s="87"/>
      <c r="L827" s="87"/>
      <c r="M827" s="97"/>
      <c r="N827" s="87"/>
      <c r="O827" s="87"/>
      <c r="P827" s="87"/>
      <c r="Q827" s="87"/>
      <c r="R827" s="87"/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87"/>
    </row>
    <row r="828">
      <c r="A828" s="87"/>
      <c r="B828" s="87"/>
      <c r="C828" s="87"/>
      <c r="D828" s="87"/>
      <c r="E828" s="87"/>
      <c r="F828" s="87"/>
      <c r="G828" s="87"/>
      <c r="H828" s="87"/>
      <c r="I828" s="87"/>
      <c r="J828" s="87"/>
      <c r="K828" s="87"/>
      <c r="L828" s="87"/>
      <c r="M828" s="97"/>
      <c r="N828" s="87"/>
      <c r="O828" s="87"/>
      <c r="P828" s="87"/>
      <c r="Q828" s="87"/>
      <c r="R828" s="87"/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87"/>
    </row>
    <row r="829">
      <c r="A829" s="87"/>
      <c r="B829" s="87"/>
      <c r="C829" s="87"/>
      <c r="D829" s="87"/>
      <c r="E829" s="87"/>
      <c r="F829" s="87"/>
      <c r="G829" s="87"/>
      <c r="H829" s="87"/>
      <c r="I829" s="87"/>
      <c r="J829" s="87"/>
      <c r="K829" s="87"/>
      <c r="L829" s="87"/>
      <c r="M829" s="97"/>
      <c r="N829" s="87"/>
      <c r="O829" s="87"/>
      <c r="P829" s="87"/>
      <c r="Q829" s="87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</row>
    <row r="830">
      <c r="A830" s="87"/>
      <c r="B830" s="87"/>
      <c r="C830" s="87"/>
      <c r="D830" s="87"/>
      <c r="E830" s="87"/>
      <c r="F830" s="87"/>
      <c r="G830" s="87"/>
      <c r="H830" s="87"/>
      <c r="I830" s="87"/>
      <c r="J830" s="87"/>
      <c r="K830" s="87"/>
      <c r="L830" s="87"/>
      <c r="M830" s="97"/>
      <c r="N830" s="87"/>
      <c r="O830" s="87"/>
      <c r="P830" s="87"/>
      <c r="Q830" s="87"/>
      <c r="R830" s="87"/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87"/>
    </row>
    <row r="831">
      <c r="A831" s="87"/>
      <c r="B831" s="87"/>
      <c r="C831" s="87"/>
      <c r="D831" s="87"/>
      <c r="E831" s="87"/>
      <c r="F831" s="87"/>
      <c r="G831" s="87"/>
      <c r="H831" s="87"/>
      <c r="I831" s="87"/>
      <c r="J831" s="87"/>
      <c r="K831" s="87"/>
      <c r="L831" s="87"/>
      <c r="M831" s="97"/>
      <c r="N831" s="87"/>
      <c r="O831" s="87"/>
      <c r="P831" s="87"/>
      <c r="Q831" s="87"/>
      <c r="R831" s="87"/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87"/>
    </row>
    <row r="832">
      <c r="A832" s="87"/>
      <c r="B832" s="87"/>
      <c r="C832" s="87"/>
      <c r="D832" s="87"/>
      <c r="E832" s="87"/>
      <c r="F832" s="87"/>
      <c r="G832" s="87"/>
      <c r="H832" s="87"/>
      <c r="I832" s="87"/>
      <c r="J832" s="87"/>
      <c r="K832" s="87"/>
      <c r="L832" s="87"/>
      <c r="M832" s="97"/>
      <c r="N832" s="87"/>
      <c r="O832" s="87"/>
      <c r="P832" s="87"/>
      <c r="Q832" s="87"/>
      <c r="R832" s="87"/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87"/>
    </row>
    <row r="833">
      <c r="A833" s="87"/>
      <c r="B833" s="87"/>
      <c r="C833" s="87"/>
      <c r="D833" s="87"/>
      <c r="E833" s="87"/>
      <c r="F833" s="87"/>
      <c r="G833" s="87"/>
      <c r="H833" s="87"/>
      <c r="I833" s="87"/>
      <c r="J833" s="87"/>
      <c r="K833" s="87"/>
      <c r="L833" s="87"/>
      <c r="M833" s="97"/>
      <c r="N833" s="87"/>
      <c r="O833" s="87"/>
      <c r="P833" s="87"/>
      <c r="Q833" s="87"/>
      <c r="R833" s="87"/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87"/>
    </row>
    <row r="834">
      <c r="A834" s="87"/>
      <c r="B834" s="87"/>
      <c r="C834" s="87"/>
      <c r="D834" s="87"/>
      <c r="E834" s="87"/>
      <c r="F834" s="87"/>
      <c r="G834" s="87"/>
      <c r="H834" s="87"/>
      <c r="I834" s="87"/>
      <c r="J834" s="87"/>
      <c r="K834" s="87"/>
      <c r="L834" s="87"/>
      <c r="M834" s="97"/>
      <c r="N834" s="87"/>
      <c r="O834" s="87"/>
      <c r="P834" s="87"/>
      <c r="Q834" s="87"/>
      <c r="R834" s="87"/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87"/>
    </row>
    <row r="835">
      <c r="A835" s="87"/>
      <c r="B835" s="87"/>
      <c r="C835" s="87"/>
      <c r="D835" s="87"/>
      <c r="E835" s="87"/>
      <c r="F835" s="87"/>
      <c r="G835" s="87"/>
      <c r="H835" s="87"/>
      <c r="I835" s="87"/>
      <c r="J835" s="87"/>
      <c r="K835" s="87"/>
      <c r="L835" s="87"/>
      <c r="M835" s="97"/>
      <c r="N835" s="87"/>
      <c r="O835" s="87"/>
      <c r="P835" s="87"/>
      <c r="Q835" s="87"/>
      <c r="R835" s="87"/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87"/>
    </row>
    <row r="836">
      <c r="A836" s="87"/>
      <c r="B836" s="87"/>
      <c r="C836" s="87"/>
      <c r="D836" s="87"/>
      <c r="E836" s="87"/>
      <c r="F836" s="87"/>
      <c r="G836" s="87"/>
      <c r="H836" s="87"/>
      <c r="I836" s="87"/>
      <c r="J836" s="87"/>
      <c r="K836" s="87"/>
      <c r="L836" s="87"/>
      <c r="M836" s="97"/>
      <c r="N836" s="87"/>
      <c r="O836" s="87"/>
      <c r="P836" s="87"/>
      <c r="Q836" s="87"/>
      <c r="R836" s="87"/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87"/>
    </row>
    <row r="837">
      <c r="A837" s="87"/>
      <c r="B837" s="87"/>
      <c r="C837" s="87"/>
      <c r="D837" s="87"/>
      <c r="E837" s="87"/>
      <c r="F837" s="87"/>
      <c r="G837" s="87"/>
      <c r="H837" s="87"/>
      <c r="I837" s="87"/>
      <c r="J837" s="87"/>
      <c r="K837" s="87"/>
      <c r="L837" s="87"/>
      <c r="M837" s="97"/>
      <c r="N837" s="87"/>
      <c r="O837" s="87"/>
      <c r="P837" s="87"/>
      <c r="Q837" s="87"/>
      <c r="R837" s="87"/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87"/>
    </row>
    <row r="838">
      <c r="A838" s="87"/>
      <c r="B838" s="87"/>
      <c r="C838" s="87"/>
      <c r="D838" s="87"/>
      <c r="E838" s="87"/>
      <c r="F838" s="87"/>
      <c r="G838" s="87"/>
      <c r="H838" s="87"/>
      <c r="I838" s="87"/>
      <c r="J838" s="87"/>
      <c r="K838" s="87"/>
      <c r="L838" s="87"/>
      <c r="M838" s="97"/>
      <c r="N838" s="87"/>
      <c r="O838" s="87"/>
      <c r="P838" s="87"/>
      <c r="Q838" s="87"/>
      <c r="R838" s="87"/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87"/>
    </row>
    <row r="839">
      <c r="A839" s="87"/>
      <c r="B839" s="87"/>
      <c r="C839" s="87"/>
      <c r="D839" s="87"/>
      <c r="E839" s="87"/>
      <c r="F839" s="87"/>
      <c r="G839" s="87"/>
      <c r="H839" s="87"/>
      <c r="I839" s="87"/>
      <c r="J839" s="87"/>
      <c r="K839" s="87"/>
      <c r="L839" s="87"/>
      <c r="M839" s="97"/>
      <c r="N839" s="87"/>
      <c r="O839" s="87"/>
      <c r="P839" s="87"/>
      <c r="Q839" s="87"/>
      <c r="R839" s="87"/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87"/>
    </row>
    <row r="840">
      <c r="A840" s="87"/>
      <c r="B840" s="87"/>
      <c r="C840" s="87"/>
      <c r="D840" s="87"/>
      <c r="E840" s="87"/>
      <c r="F840" s="87"/>
      <c r="G840" s="87"/>
      <c r="H840" s="87"/>
      <c r="I840" s="87"/>
      <c r="J840" s="87"/>
      <c r="K840" s="87"/>
      <c r="L840" s="87"/>
      <c r="M840" s="97"/>
      <c r="N840" s="87"/>
      <c r="O840" s="87"/>
      <c r="P840" s="87"/>
      <c r="Q840" s="87"/>
      <c r="R840" s="87"/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87"/>
    </row>
    <row r="841">
      <c r="A841" s="87"/>
      <c r="B841" s="87"/>
      <c r="C841" s="87"/>
      <c r="D841" s="87"/>
      <c r="E841" s="87"/>
      <c r="F841" s="87"/>
      <c r="G841" s="87"/>
      <c r="H841" s="87"/>
      <c r="I841" s="87"/>
      <c r="J841" s="87"/>
      <c r="K841" s="87"/>
      <c r="L841" s="87"/>
      <c r="M841" s="97"/>
      <c r="N841" s="87"/>
      <c r="O841" s="87"/>
      <c r="P841" s="87"/>
      <c r="Q841" s="87"/>
      <c r="R841" s="87"/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87"/>
    </row>
    <row r="842">
      <c r="A842" s="87"/>
      <c r="B842" s="87"/>
      <c r="C842" s="87"/>
      <c r="D842" s="87"/>
      <c r="E842" s="87"/>
      <c r="F842" s="87"/>
      <c r="G842" s="87"/>
      <c r="H842" s="87"/>
      <c r="I842" s="87"/>
      <c r="J842" s="87"/>
      <c r="K842" s="87"/>
      <c r="L842" s="87"/>
      <c r="M842" s="97"/>
      <c r="N842" s="87"/>
      <c r="O842" s="87"/>
      <c r="P842" s="87"/>
      <c r="Q842" s="87"/>
      <c r="R842" s="87"/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87"/>
    </row>
    <row r="843">
      <c r="A843" s="87"/>
      <c r="B843" s="87"/>
      <c r="C843" s="87"/>
      <c r="D843" s="87"/>
      <c r="E843" s="87"/>
      <c r="F843" s="87"/>
      <c r="G843" s="87"/>
      <c r="H843" s="87"/>
      <c r="I843" s="87"/>
      <c r="J843" s="87"/>
      <c r="K843" s="87"/>
      <c r="L843" s="87"/>
      <c r="M843" s="97"/>
      <c r="N843" s="87"/>
      <c r="O843" s="87"/>
      <c r="P843" s="87"/>
      <c r="Q843" s="87"/>
      <c r="R843" s="87"/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87"/>
    </row>
    <row r="844">
      <c r="A844" s="87"/>
      <c r="B844" s="87"/>
      <c r="C844" s="87"/>
      <c r="D844" s="87"/>
      <c r="E844" s="87"/>
      <c r="F844" s="87"/>
      <c r="G844" s="87"/>
      <c r="H844" s="87"/>
      <c r="I844" s="87"/>
      <c r="J844" s="87"/>
      <c r="K844" s="87"/>
      <c r="L844" s="87"/>
      <c r="M844" s="97"/>
      <c r="N844" s="87"/>
      <c r="O844" s="87"/>
      <c r="P844" s="87"/>
      <c r="Q844" s="87"/>
      <c r="R844" s="87"/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87"/>
    </row>
    <row r="845">
      <c r="A845" s="87"/>
      <c r="B845" s="87"/>
      <c r="C845" s="87"/>
      <c r="D845" s="87"/>
      <c r="E845" s="87"/>
      <c r="F845" s="87"/>
      <c r="G845" s="87"/>
      <c r="H845" s="87"/>
      <c r="I845" s="87"/>
      <c r="J845" s="87"/>
      <c r="K845" s="87"/>
      <c r="L845" s="87"/>
      <c r="M845" s="97"/>
      <c r="N845" s="87"/>
      <c r="O845" s="87"/>
      <c r="P845" s="87"/>
      <c r="Q845" s="87"/>
      <c r="R845" s="87"/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87"/>
    </row>
    <row r="846">
      <c r="A846" s="87"/>
      <c r="B846" s="87"/>
      <c r="C846" s="87"/>
      <c r="D846" s="87"/>
      <c r="E846" s="87"/>
      <c r="F846" s="87"/>
      <c r="G846" s="87"/>
      <c r="H846" s="87"/>
      <c r="I846" s="87"/>
      <c r="J846" s="87"/>
      <c r="K846" s="87"/>
      <c r="L846" s="87"/>
      <c r="M846" s="97"/>
      <c r="N846" s="87"/>
      <c r="O846" s="87"/>
      <c r="P846" s="87"/>
      <c r="Q846" s="87"/>
      <c r="R846" s="87"/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87"/>
    </row>
    <row r="847">
      <c r="A847" s="87"/>
      <c r="B847" s="87"/>
      <c r="C847" s="87"/>
      <c r="D847" s="87"/>
      <c r="E847" s="87"/>
      <c r="F847" s="87"/>
      <c r="G847" s="87"/>
      <c r="H847" s="87"/>
      <c r="I847" s="87"/>
      <c r="J847" s="87"/>
      <c r="K847" s="87"/>
      <c r="L847" s="87"/>
      <c r="M847" s="97"/>
      <c r="N847" s="87"/>
      <c r="O847" s="87"/>
      <c r="P847" s="87"/>
      <c r="Q847" s="87"/>
      <c r="R847" s="87"/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87"/>
    </row>
    <row r="848">
      <c r="A848" s="87"/>
      <c r="B848" s="87"/>
      <c r="C848" s="87"/>
      <c r="D848" s="87"/>
      <c r="E848" s="87"/>
      <c r="F848" s="87"/>
      <c r="G848" s="87"/>
      <c r="H848" s="87"/>
      <c r="I848" s="87"/>
      <c r="J848" s="87"/>
      <c r="K848" s="87"/>
      <c r="L848" s="87"/>
      <c r="M848" s="97"/>
      <c r="N848" s="87"/>
      <c r="O848" s="87"/>
      <c r="P848" s="87"/>
      <c r="Q848" s="87"/>
      <c r="R848" s="87"/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87"/>
    </row>
    <row r="849">
      <c r="A849" s="87"/>
      <c r="B849" s="87"/>
      <c r="C849" s="87"/>
      <c r="D849" s="87"/>
      <c r="E849" s="87"/>
      <c r="F849" s="87"/>
      <c r="G849" s="87"/>
      <c r="H849" s="87"/>
      <c r="I849" s="87"/>
      <c r="J849" s="87"/>
      <c r="K849" s="87"/>
      <c r="L849" s="87"/>
      <c r="M849" s="97"/>
      <c r="N849" s="87"/>
      <c r="O849" s="87"/>
      <c r="P849" s="87"/>
      <c r="Q849" s="87"/>
      <c r="R849" s="87"/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87"/>
    </row>
    <row r="850">
      <c r="A850" s="87"/>
      <c r="B850" s="87"/>
      <c r="C850" s="87"/>
      <c r="D850" s="87"/>
      <c r="E850" s="87"/>
      <c r="F850" s="87"/>
      <c r="G850" s="87"/>
      <c r="H850" s="87"/>
      <c r="I850" s="87"/>
      <c r="J850" s="87"/>
      <c r="K850" s="87"/>
      <c r="L850" s="87"/>
      <c r="M850" s="97"/>
      <c r="N850" s="87"/>
      <c r="O850" s="87"/>
      <c r="P850" s="87"/>
      <c r="Q850" s="87"/>
      <c r="R850" s="87"/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87"/>
    </row>
    <row r="851">
      <c r="A851" s="87"/>
      <c r="B851" s="87"/>
      <c r="C851" s="87"/>
      <c r="D851" s="87"/>
      <c r="E851" s="87"/>
      <c r="F851" s="87"/>
      <c r="G851" s="87"/>
      <c r="H851" s="87"/>
      <c r="I851" s="87"/>
      <c r="J851" s="87"/>
      <c r="K851" s="87"/>
      <c r="L851" s="87"/>
      <c r="M851" s="97"/>
      <c r="N851" s="87"/>
      <c r="O851" s="87"/>
      <c r="P851" s="87"/>
      <c r="Q851" s="87"/>
      <c r="R851" s="87"/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87"/>
    </row>
    <row r="852">
      <c r="A852" s="87"/>
      <c r="B852" s="87"/>
      <c r="C852" s="87"/>
      <c r="D852" s="87"/>
      <c r="E852" s="87"/>
      <c r="F852" s="87"/>
      <c r="G852" s="87"/>
      <c r="H852" s="87"/>
      <c r="I852" s="87"/>
      <c r="J852" s="87"/>
      <c r="K852" s="87"/>
      <c r="L852" s="87"/>
      <c r="M852" s="97"/>
      <c r="N852" s="87"/>
      <c r="O852" s="87"/>
      <c r="P852" s="87"/>
      <c r="Q852" s="87"/>
      <c r="R852" s="87"/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87"/>
    </row>
    <row r="853">
      <c r="A853" s="87"/>
      <c r="B853" s="87"/>
      <c r="C853" s="87"/>
      <c r="D853" s="87"/>
      <c r="E853" s="87"/>
      <c r="F853" s="87"/>
      <c r="G853" s="87"/>
      <c r="H853" s="87"/>
      <c r="I853" s="87"/>
      <c r="J853" s="87"/>
      <c r="K853" s="87"/>
      <c r="L853" s="87"/>
      <c r="M853" s="97"/>
      <c r="N853" s="87"/>
      <c r="O853" s="87"/>
      <c r="P853" s="87"/>
      <c r="Q853" s="87"/>
      <c r="R853" s="87"/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87"/>
    </row>
    <row r="854">
      <c r="A854" s="87"/>
      <c r="B854" s="87"/>
      <c r="C854" s="87"/>
      <c r="D854" s="87"/>
      <c r="E854" s="87"/>
      <c r="F854" s="87"/>
      <c r="G854" s="87"/>
      <c r="H854" s="87"/>
      <c r="I854" s="87"/>
      <c r="J854" s="87"/>
      <c r="K854" s="87"/>
      <c r="L854" s="87"/>
      <c r="M854" s="97"/>
      <c r="N854" s="87"/>
      <c r="O854" s="87"/>
      <c r="P854" s="87"/>
      <c r="Q854" s="87"/>
      <c r="R854" s="87"/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87"/>
    </row>
    <row r="855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9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87"/>
    </row>
    <row r="8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9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87"/>
    </row>
    <row r="857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9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87"/>
    </row>
    <row r="858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9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87"/>
    </row>
    <row r="859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9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87"/>
    </row>
    <row r="860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9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87"/>
    </row>
    <row r="861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9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87"/>
    </row>
    <row r="862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9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87"/>
    </row>
    <row r="863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9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87"/>
    </row>
    <row r="864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9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87"/>
    </row>
    <row r="865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9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87"/>
    </row>
    <row r="86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9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87"/>
    </row>
    <row r="867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9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87"/>
    </row>
    <row r="868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9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87"/>
    </row>
    <row r="869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9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87"/>
    </row>
    <row r="870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9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87"/>
    </row>
    <row r="871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9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87"/>
    </row>
    <row r="872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9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87"/>
    </row>
    <row r="873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9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87"/>
    </row>
    <row r="874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9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87"/>
    </row>
    <row r="875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9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87"/>
    </row>
    <row r="87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9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87"/>
    </row>
    <row r="877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9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87"/>
    </row>
    <row r="878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9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87"/>
    </row>
    <row r="879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9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87"/>
    </row>
    <row r="880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9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87"/>
    </row>
    <row r="881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9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87"/>
    </row>
    <row r="882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9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87"/>
    </row>
    <row r="883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9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87"/>
    </row>
    <row r="884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9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87"/>
    </row>
    <row r="885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9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87"/>
    </row>
    <row r="88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9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87"/>
    </row>
    <row r="887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9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87"/>
    </row>
    <row r="888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9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87"/>
    </row>
    <row r="889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9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87"/>
    </row>
    <row r="890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9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87"/>
    </row>
    <row r="891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9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87"/>
    </row>
    <row r="892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9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87"/>
    </row>
    <row r="893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9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87"/>
    </row>
    <row r="894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9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87"/>
    </row>
    <row r="895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9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87"/>
    </row>
    <row r="89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9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87"/>
    </row>
    <row r="897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9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87"/>
    </row>
    <row r="898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9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87"/>
    </row>
    <row r="899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9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87"/>
    </row>
    <row r="900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9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87"/>
    </row>
    <row r="901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9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87"/>
    </row>
    <row r="902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9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87"/>
    </row>
    <row r="903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9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87"/>
    </row>
    <row r="904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9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87"/>
    </row>
    <row r="905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9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87"/>
    </row>
    <row r="90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9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87"/>
    </row>
    <row r="907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9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87"/>
    </row>
    <row r="908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9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87"/>
    </row>
    <row r="909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9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87"/>
    </row>
    <row r="910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9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87"/>
    </row>
    <row r="911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9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87"/>
    </row>
    <row r="912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9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87"/>
    </row>
    <row r="913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9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87"/>
    </row>
    <row r="914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9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87"/>
    </row>
    <row r="915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9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87"/>
    </row>
    <row r="91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9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87"/>
    </row>
    <row r="917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9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87"/>
    </row>
    <row r="918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9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87"/>
    </row>
    <row r="919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9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87"/>
    </row>
    <row r="920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9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87"/>
    </row>
    <row r="921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9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87"/>
    </row>
    <row r="922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9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87"/>
    </row>
    <row r="923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9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87"/>
    </row>
    <row r="924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9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87"/>
    </row>
    <row r="925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9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87"/>
    </row>
    <row r="92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9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87"/>
    </row>
    <row r="927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9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87"/>
    </row>
    <row r="928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9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87"/>
    </row>
    <row r="929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9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87"/>
    </row>
    <row r="930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9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87"/>
    </row>
    <row r="931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9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87"/>
    </row>
    <row r="932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9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87"/>
    </row>
    <row r="933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9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87"/>
    </row>
    <row r="934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9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87"/>
    </row>
    <row r="935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9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87"/>
    </row>
    <row r="93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9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87"/>
    </row>
    <row r="937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9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87"/>
    </row>
    <row r="938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9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87"/>
    </row>
    <row r="939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9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87"/>
    </row>
    <row r="940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9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87"/>
    </row>
    <row r="941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9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87"/>
    </row>
    <row r="942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9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87"/>
    </row>
    <row r="943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9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87"/>
    </row>
    <row r="944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9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87"/>
    </row>
    <row r="945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9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87"/>
    </row>
    <row r="94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9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87"/>
    </row>
    <row r="947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9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87"/>
    </row>
    <row r="948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9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87"/>
    </row>
    <row r="949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9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87"/>
    </row>
    <row r="950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9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87"/>
    </row>
    <row r="951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9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87"/>
    </row>
    <row r="952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9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87"/>
    </row>
    <row r="953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9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87"/>
    </row>
    <row r="954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9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87"/>
    </row>
    <row r="955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9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87"/>
    </row>
    <row r="9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9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87"/>
    </row>
    <row r="957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9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87"/>
    </row>
    <row r="958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9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87"/>
    </row>
    <row r="959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9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87"/>
    </row>
    <row r="960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9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87"/>
    </row>
    <row r="961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9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87"/>
    </row>
    <row r="962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9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87"/>
    </row>
    <row r="963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9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87"/>
    </row>
    <row r="964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9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87"/>
    </row>
    <row r="965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9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87"/>
    </row>
    <row r="96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9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87"/>
    </row>
    <row r="967">
      <c r="A967" s="87"/>
      <c r="B967" s="87"/>
      <c r="C967" s="87"/>
      <c r="D967" s="87"/>
      <c r="E967" s="87"/>
      <c r="F967" s="87"/>
      <c r="G967" s="87"/>
      <c r="H967" s="87"/>
      <c r="I967" s="87"/>
      <c r="J967" s="87"/>
      <c r="K967" s="87"/>
      <c r="L967" s="87"/>
      <c r="M967" s="9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87"/>
    </row>
    <row r="968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9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87"/>
    </row>
    <row r="969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9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87"/>
    </row>
    <row r="970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9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87"/>
    </row>
    <row r="971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9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87"/>
    </row>
    <row r="972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9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87"/>
    </row>
    <row r="973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9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87"/>
    </row>
    <row r="974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9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87"/>
    </row>
    <row r="975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9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87"/>
    </row>
    <row r="97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9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87"/>
    </row>
    <row r="977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9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87"/>
    </row>
    <row r="978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9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87"/>
    </row>
    <row r="979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9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87"/>
    </row>
    <row r="980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9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87"/>
    </row>
    <row r="981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9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87"/>
    </row>
    <row r="982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9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87"/>
    </row>
    <row r="983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9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87"/>
    </row>
    <row r="984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9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87"/>
    </row>
    <row r="985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9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87"/>
    </row>
    <row r="98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9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87"/>
    </row>
    <row r="987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9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87"/>
    </row>
    <row r="988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9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87"/>
    </row>
    <row r="989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9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87"/>
    </row>
    <row r="990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9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87"/>
    </row>
    <row r="991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9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87"/>
    </row>
    <row r="992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9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87"/>
    </row>
    <row r="993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9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87"/>
    </row>
    <row r="994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9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87"/>
    </row>
    <row r="995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9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87"/>
    </row>
    <row r="99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9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87"/>
    </row>
    <row r="997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9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87"/>
    </row>
    <row r="998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9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87"/>
    </row>
    <row r="999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9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87"/>
    </row>
    <row r="1000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9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87"/>
    </row>
    <row r="1001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97"/>
      <c r="N1001" s="87"/>
      <c r="O1001" s="87"/>
      <c r="P1001" s="87"/>
      <c r="Q1001" s="87"/>
      <c r="R1001" s="87"/>
      <c r="S1001" s="87"/>
      <c r="T1001" s="87"/>
      <c r="U1001" s="87"/>
      <c r="V1001" s="87"/>
      <c r="W1001" s="87"/>
      <c r="X1001" s="87"/>
      <c r="Y1001" s="87"/>
      <c r="Z1001" s="87"/>
      <c r="AA1001" s="87"/>
      <c r="AB1001" s="87"/>
      <c r="AC1001" s="87"/>
    </row>
    <row r="1002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97"/>
      <c r="N1002" s="87"/>
      <c r="O1002" s="87"/>
      <c r="P1002" s="87"/>
      <c r="Q1002" s="87"/>
      <c r="R1002" s="87"/>
      <c r="S1002" s="87"/>
      <c r="T1002" s="87"/>
      <c r="U1002" s="87"/>
      <c r="V1002" s="87"/>
      <c r="W1002" s="87"/>
      <c r="X1002" s="87"/>
      <c r="Y1002" s="87"/>
      <c r="Z1002" s="87"/>
      <c r="AA1002" s="87"/>
      <c r="AB1002" s="87"/>
      <c r="AC1002" s="87"/>
    </row>
    <row r="1003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  <c r="L1003" s="87"/>
      <c r="M1003" s="97"/>
      <c r="N1003" s="87"/>
      <c r="O1003" s="87"/>
      <c r="P1003" s="87"/>
      <c r="Q1003" s="87"/>
      <c r="R1003" s="87"/>
      <c r="S1003" s="87"/>
      <c r="T1003" s="87"/>
      <c r="U1003" s="87"/>
      <c r="V1003" s="87"/>
      <c r="W1003" s="87"/>
      <c r="X1003" s="87"/>
      <c r="Y1003" s="87"/>
      <c r="Z1003" s="87"/>
      <c r="AA1003" s="87"/>
      <c r="AB1003" s="87"/>
      <c r="AC1003" s="87"/>
    </row>
    <row r="1004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  <c r="L1004" s="87"/>
      <c r="M1004" s="97"/>
      <c r="N1004" s="87"/>
      <c r="O1004" s="87"/>
      <c r="P1004" s="87"/>
      <c r="Q1004" s="87"/>
      <c r="R1004" s="87"/>
      <c r="S1004" s="87"/>
      <c r="T1004" s="87"/>
      <c r="U1004" s="87"/>
      <c r="V1004" s="87"/>
      <c r="W1004" s="87"/>
      <c r="X1004" s="87"/>
      <c r="Y1004" s="87"/>
      <c r="Z1004" s="87"/>
      <c r="AA1004" s="87"/>
      <c r="AB1004" s="87"/>
      <c r="AC1004" s="87"/>
    </row>
    <row r="1005">
      <c r="A1005" s="87"/>
      <c r="B1005" s="87"/>
      <c r="C1005" s="87"/>
      <c r="D1005" s="87"/>
      <c r="E1005" s="87"/>
      <c r="F1005" s="87"/>
      <c r="G1005" s="87"/>
      <c r="H1005" s="87"/>
      <c r="I1005" s="87"/>
      <c r="J1005" s="87"/>
      <c r="K1005" s="87"/>
      <c r="L1005" s="87"/>
      <c r="M1005" s="97"/>
      <c r="N1005" s="87"/>
      <c r="O1005" s="87"/>
      <c r="P1005" s="87"/>
      <c r="Q1005" s="87"/>
      <c r="R1005" s="87"/>
      <c r="S1005" s="87"/>
      <c r="T1005" s="87"/>
      <c r="U1005" s="87"/>
      <c r="V1005" s="87"/>
      <c r="W1005" s="87"/>
      <c r="X1005" s="87"/>
      <c r="Y1005" s="87"/>
      <c r="Z1005" s="87"/>
      <c r="AA1005" s="87"/>
      <c r="AB1005" s="87"/>
      <c r="AC1005" s="87"/>
    </row>
    <row r="1006">
      <c r="A1006" s="87"/>
      <c r="B1006" s="87"/>
      <c r="C1006" s="87"/>
      <c r="D1006" s="87"/>
      <c r="E1006" s="87"/>
      <c r="F1006" s="87"/>
      <c r="G1006" s="87"/>
      <c r="H1006" s="87"/>
      <c r="I1006" s="87"/>
      <c r="J1006" s="87"/>
      <c r="K1006" s="87"/>
      <c r="L1006" s="87"/>
      <c r="M1006" s="97"/>
      <c r="N1006" s="87"/>
      <c r="O1006" s="87"/>
      <c r="P1006" s="87"/>
      <c r="Q1006" s="87"/>
      <c r="R1006" s="87"/>
      <c r="S1006" s="87"/>
      <c r="T1006" s="87"/>
      <c r="U1006" s="87"/>
      <c r="V1006" s="87"/>
      <c r="W1006" s="87"/>
      <c r="X1006" s="87"/>
      <c r="Y1006" s="87"/>
      <c r="Z1006" s="87"/>
      <c r="AA1006" s="87"/>
      <c r="AB1006" s="87"/>
      <c r="AC1006" s="87"/>
    </row>
    <row r="1007">
      <c r="A1007" s="87"/>
      <c r="B1007" s="87"/>
      <c r="C1007" s="87"/>
      <c r="D1007" s="87"/>
      <c r="E1007" s="87"/>
      <c r="F1007" s="87"/>
      <c r="G1007" s="87"/>
      <c r="H1007" s="87"/>
      <c r="I1007" s="87"/>
      <c r="J1007" s="87"/>
      <c r="K1007" s="87"/>
      <c r="L1007" s="87"/>
      <c r="M1007" s="97"/>
      <c r="N1007" s="87"/>
      <c r="O1007" s="87"/>
      <c r="P1007" s="87"/>
      <c r="Q1007" s="87"/>
      <c r="R1007" s="87"/>
      <c r="S1007" s="87"/>
      <c r="T1007" s="87"/>
      <c r="U1007" s="87"/>
      <c r="V1007" s="87"/>
      <c r="W1007" s="87"/>
      <c r="X1007" s="87"/>
      <c r="Y1007" s="87"/>
      <c r="Z1007" s="87"/>
      <c r="AA1007" s="87"/>
      <c r="AB1007" s="87"/>
      <c r="AC1007" s="87"/>
    </row>
    <row r="1008">
      <c r="A1008" s="87"/>
      <c r="B1008" s="87"/>
      <c r="C1008" s="87"/>
      <c r="D1008" s="87"/>
      <c r="E1008" s="87"/>
      <c r="F1008" s="87"/>
      <c r="G1008" s="87"/>
      <c r="H1008" s="87"/>
      <c r="I1008" s="87"/>
      <c r="J1008" s="87"/>
      <c r="K1008" s="87"/>
      <c r="L1008" s="87"/>
      <c r="M1008" s="97"/>
      <c r="N1008" s="87"/>
      <c r="O1008" s="87"/>
      <c r="P1008" s="87"/>
      <c r="Q1008" s="87"/>
      <c r="R1008" s="87"/>
      <c r="S1008" s="87"/>
      <c r="T1008" s="87"/>
      <c r="U1008" s="87"/>
      <c r="V1008" s="87"/>
      <c r="W1008" s="87"/>
      <c r="X1008" s="87"/>
      <c r="Y1008" s="87"/>
      <c r="Z1008" s="87"/>
      <c r="AA1008" s="87"/>
      <c r="AB1008" s="87"/>
      <c r="AC1008" s="87"/>
    </row>
    <row r="1009">
      <c r="A1009" s="87"/>
      <c r="B1009" s="87"/>
      <c r="C1009" s="87"/>
      <c r="D1009" s="87"/>
      <c r="E1009" s="87"/>
      <c r="F1009" s="87"/>
      <c r="G1009" s="87"/>
      <c r="H1009" s="87"/>
      <c r="I1009" s="87"/>
      <c r="J1009" s="87"/>
      <c r="K1009" s="87"/>
      <c r="L1009" s="87"/>
      <c r="M1009" s="97"/>
      <c r="N1009" s="87"/>
      <c r="O1009" s="87"/>
      <c r="P1009" s="87"/>
      <c r="Q1009" s="87"/>
      <c r="R1009" s="87"/>
      <c r="S1009" s="87"/>
      <c r="T1009" s="87"/>
      <c r="U1009" s="87"/>
      <c r="V1009" s="87"/>
      <c r="W1009" s="87"/>
      <c r="X1009" s="87"/>
      <c r="Y1009" s="87"/>
      <c r="Z1009" s="87"/>
      <c r="AA1009" s="87"/>
      <c r="AB1009" s="87"/>
      <c r="AC1009" s="87"/>
    </row>
    <row r="1010">
      <c r="A1010" s="87"/>
      <c r="B1010" s="87"/>
      <c r="C1010" s="87"/>
      <c r="D1010" s="87"/>
      <c r="E1010" s="87"/>
      <c r="F1010" s="87"/>
      <c r="G1010" s="87"/>
      <c r="H1010" s="87"/>
      <c r="I1010" s="87"/>
      <c r="J1010" s="87"/>
      <c r="K1010" s="87"/>
      <c r="L1010" s="87"/>
      <c r="M1010" s="97"/>
      <c r="N1010" s="87"/>
      <c r="O1010" s="87"/>
      <c r="P1010" s="87"/>
      <c r="Q1010" s="87"/>
      <c r="R1010" s="87"/>
      <c r="S1010" s="87"/>
      <c r="T1010" s="87"/>
      <c r="U1010" s="87"/>
      <c r="V1010" s="87"/>
      <c r="W1010" s="87"/>
      <c r="X1010" s="87"/>
      <c r="Y1010" s="87"/>
      <c r="Z1010" s="87"/>
      <c r="AA1010" s="87"/>
      <c r="AB1010" s="87"/>
      <c r="AC1010" s="87"/>
    </row>
  </sheetData>
  <dataValidations>
    <dataValidation type="list" allowBlank="1" showErrorMessage="1" sqref="B12">
      <formula1>"EVET ,HAYIR "</formula1>
    </dataValidation>
    <dataValidation type="list" allowBlank="1" showErrorMessage="1" sqref="E8">
      <formula1>"Loading ,Discharging"</formula1>
    </dataValidation>
    <dataValidation type="list" allowBlank="1" showErrorMessage="1" sqref="A25">
      <formula1>"Römorkör Ücreti (Towage),Römorkör Kabotaj"</formula1>
    </dataValidation>
    <dataValidation type="list" allowBlank="1" showErrorMessage="1" sqref="A22">
      <formula1>"İTHALAT,İHRACAT,ALİAĞA,TEKİRDAĞ"</formula1>
    </dataValidation>
    <dataValidation type="list" allowBlank="1" showErrorMessage="1" sqref="A40">
      <formula1>"TÜRK,YABANCI,KABOTAJ"</formula1>
    </dataValidation>
    <dataValidation type="list" allowBlank="1" showErrorMessage="1" sqref="A26">
      <formula1>"Palamar (Mooring),Palamar Kabotaj"</formula1>
    </dataValidation>
    <dataValidation type="list" allowBlank="1" showErrorMessage="1" sqref="A32">
      <formula1>"YABANCI,TÜRK,KABOTAJ,İZMİR/TCDD"</formula1>
    </dataValidation>
    <dataValidation type="list" allowBlank="1" showErrorMessage="1" sqref="A28">
      <formula1>"TÜRK / CHAMBER OF SHIPPING FEE,YABANCI / CHAMBER OF SHIPPING FEE"</formula1>
    </dataValidation>
    <dataValidation type="list" allowBlank="1" showErrorMessage="1" sqref="A37">
      <formula1>"YABANCI,TÜRK,KABOTAJ"</formula1>
    </dataValidation>
    <dataValidation type="list" allowBlank="1" showErrorMessage="1" sqref="A24">
      <formula1>"Kılavuzluk Diger Yük Gemileri,Kabotaj hattı"</formula1>
    </dataValidation>
  </dataValidations>
  <drawing r:id="rId1"/>
</worksheet>
</file>